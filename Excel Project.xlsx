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8_{1A350A14-463C-46BF-8A20-94F377EA3503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Dashboard" sheetId="2" r:id="rId1"/>
    <sheet name="Activity Data" sheetId="3" r:id="rId2"/>
    <sheet name="FMS Summary" sheetId="4" r:id="rId3"/>
    <sheet name="Checklist Summary" sheetId="5" r:id="rId4"/>
    <sheet name="MIS Summary" sheetId="6" r:id="rId5"/>
    <sheet name="Lookup Practice" sheetId="7" r:id="rId6"/>
  </sheets>
  <definedNames>
    <definedName name="_xlnm._FilterDatabase" localSheetId="1" hidden="1">'Activity Data'!$A$1:$J$121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7" l="1"/>
  <c r="B10" i="7"/>
  <c r="C9" i="7"/>
  <c r="B9" i="7"/>
  <c r="C8" i="7"/>
  <c r="B8" i="7"/>
  <c r="C7" i="7"/>
  <c r="B7" i="7"/>
  <c r="C6" i="7"/>
  <c r="B6" i="7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B6" i="5"/>
  <c r="B5" i="5"/>
  <c r="B4" i="5"/>
  <c r="B8" i="5" s="1"/>
  <c r="B11" i="4"/>
  <c r="B10" i="4"/>
  <c r="B9" i="4"/>
  <c r="B8" i="4"/>
  <c r="B7" i="4"/>
  <c r="B6" i="4"/>
  <c r="B5" i="4"/>
  <c r="E16" i="2"/>
  <c r="B16" i="2"/>
  <c r="E15" i="2"/>
  <c r="B15" i="2"/>
  <c r="E14" i="2"/>
  <c r="B14" i="2"/>
  <c r="E13" i="2"/>
  <c r="B13" i="2"/>
  <c r="E8" i="2"/>
  <c r="C8" i="2"/>
  <c r="A8" i="2"/>
  <c r="E5" i="2"/>
  <c r="C5" i="2"/>
  <c r="A5" i="2"/>
</calcChain>
</file>

<file path=xl/sharedStrings.xml><?xml version="1.0" encoding="utf-8"?>
<sst xmlns="http://schemas.openxmlformats.org/spreadsheetml/2006/main" count="912" uniqueCount="187">
  <si>
    <t>MASTER SUMMARY DASHBOARD</t>
  </si>
  <si>
    <t>Sample operations overview | Update Activity Data to refresh formula-based KPIs</t>
  </si>
  <si>
    <t>Total Activities</t>
  </si>
  <si>
    <t>Completed</t>
  </si>
  <si>
    <t>Open Activities</t>
  </si>
  <si>
    <t>Completion Rate</t>
  </si>
  <si>
    <t>TAT Met Rate</t>
  </si>
  <si>
    <t>Checklist Compliance</t>
  </si>
  <si>
    <t>Activities by Status</t>
  </si>
  <si>
    <t>Activities by Region</t>
  </si>
  <si>
    <t>Status</t>
  </si>
  <si>
    <t>Count</t>
  </si>
  <si>
    <t>Region</t>
  </si>
  <si>
    <t>North</t>
  </si>
  <si>
    <t>Pending</t>
  </si>
  <si>
    <t>South</t>
  </si>
  <si>
    <t>In Progress</t>
  </si>
  <si>
    <t>East</t>
  </si>
  <si>
    <t>Cancelled</t>
  </si>
  <si>
    <t>West</t>
  </si>
  <si>
    <t>Activity ID</t>
  </si>
  <si>
    <t>Date</t>
  </si>
  <si>
    <t>Activity Type</t>
  </si>
  <si>
    <t>Assigned To</t>
  </si>
  <si>
    <t>TAT Target (hrs)</t>
  </si>
  <si>
    <t>Actual TAT (hrs)</t>
  </si>
  <si>
    <t>Checklist Complete</t>
  </si>
  <si>
    <t>TAT Met</t>
  </si>
  <si>
    <t>ACT-023</t>
  </si>
  <si>
    <t>Installation</t>
  </si>
  <si>
    <t>Rohan</t>
  </si>
  <si>
    <t>Yes</t>
  </si>
  <si>
    <t>No</t>
  </si>
  <si>
    <t>ACT-097</t>
  </si>
  <si>
    <t>Sara</t>
  </si>
  <si>
    <t>ACT-098</t>
  </si>
  <si>
    <t>Inspection</t>
  </si>
  <si>
    <t>Ishaan</t>
  </si>
  <si>
    <t>ACT-022</t>
  </si>
  <si>
    <t>Aarav</t>
  </si>
  <si>
    <t>ACT-061</t>
  </si>
  <si>
    <t>ACT-037</t>
  </si>
  <si>
    <t>Kabir</t>
  </si>
  <si>
    <t>ACT-077</t>
  </si>
  <si>
    <t>Diya</t>
  </si>
  <si>
    <t>ACT-065</t>
  </si>
  <si>
    <t>Maintenance</t>
  </si>
  <si>
    <t>ACT-068</t>
  </si>
  <si>
    <t>Customer Visit</t>
  </si>
  <si>
    <t>ACT-111</t>
  </si>
  <si>
    <t>Meera</t>
  </si>
  <si>
    <t>ACT-076</t>
  </si>
  <si>
    <t>ACT-026</t>
  </si>
  <si>
    <t>N/A</t>
  </si>
  <si>
    <t>ACT-071</t>
  </si>
  <si>
    <t>ACT-004</t>
  </si>
  <si>
    <t>Anaya</t>
  </si>
  <si>
    <t>ACT-017</t>
  </si>
  <si>
    <t>ACT-029</t>
  </si>
  <si>
    <t>ACT-007</t>
  </si>
  <si>
    <t>ACT-096</t>
  </si>
  <si>
    <t>ACT-081</t>
  </si>
  <si>
    <t>ACT-036</t>
  </si>
  <si>
    <t>ACT-093</t>
  </si>
  <si>
    <t>ACT-083</t>
  </si>
  <si>
    <t>ACT-010</t>
  </si>
  <si>
    <t>ACT-012</t>
  </si>
  <si>
    <t>ACT-090</t>
  </si>
  <si>
    <t>ACT-045</t>
  </si>
  <si>
    <t>ACT-088</t>
  </si>
  <si>
    <t>ACT-006</t>
  </si>
  <si>
    <t>ACT-053</t>
  </si>
  <si>
    <t>ACT-100</t>
  </si>
  <si>
    <t>ACT-041</t>
  </si>
  <si>
    <t>ACT-058</t>
  </si>
  <si>
    <t>ACT-070</t>
  </si>
  <si>
    <t>ACT-025</t>
  </si>
  <si>
    <t>ACT-110</t>
  </si>
  <si>
    <t>ACT-094</t>
  </si>
  <si>
    <t>ACT-116</t>
  </si>
  <si>
    <t>ACT-042</t>
  </si>
  <si>
    <t>ACT-050</t>
  </si>
  <si>
    <t>ACT-056</t>
  </si>
  <si>
    <t>ACT-038</t>
  </si>
  <si>
    <t>ACT-115</t>
  </si>
  <si>
    <t>ACT-013</t>
  </si>
  <si>
    <t>ACT-057</t>
  </si>
  <si>
    <t>ACT-103</t>
  </si>
  <si>
    <t>ACT-063</t>
  </si>
  <si>
    <t>ACT-073</t>
  </si>
  <si>
    <t>ACT-078</t>
  </si>
  <si>
    <t>ACT-114</t>
  </si>
  <si>
    <t>ACT-113</t>
  </si>
  <si>
    <t>ACT-069</t>
  </si>
  <si>
    <t>ACT-062</t>
  </si>
  <si>
    <t>ACT-014</t>
  </si>
  <si>
    <t>ACT-112</t>
  </si>
  <si>
    <t>ACT-099</t>
  </si>
  <si>
    <t>ACT-052</t>
  </si>
  <si>
    <t>ACT-028</t>
  </si>
  <si>
    <t>ACT-016</t>
  </si>
  <si>
    <t>ACT-072</t>
  </si>
  <si>
    <t>ACT-118</t>
  </si>
  <si>
    <t>ACT-119</t>
  </si>
  <si>
    <t>ACT-009</t>
  </si>
  <si>
    <t>ACT-107</t>
  </si>
  <si>
    <t>ACT-108</t>
  </si>
  <si>
    <t>ACT-095</t>
  </si>
  <si>
    <t>ACT-084</t>
  </si>
  <si>
    <t>ACT-067</t>
  </si>
  <si>
    <t>ACT-021</t>
  </si>
  <si>
    <t>ACT-082</t>
  </si>
  <si>
    <t>ACT-008</t>
  </si>
  <si>
    <t>ACT-109</t>
  </si>
  <si>
    <t>ACT-080</t>
  </si>
  <si>
    <t>ACT-106</t>
  </si>
  <si>
    <t>ACT-027</t>
  </si>
  <si>
    <t>ACT-024</t>
  </si>
  <si>
    <t>ACT-075</t>
  </si>
  <si>
    <t>ACT-064</t>
  </si>
  <si>
    <t>ACT-005</t>
  </si>
  <si>
    <t>ACT-044</t>
  </si>
  <si>
    <t>ACT-019</t>
  </si>
  <si>
    <t>ACT-040</t>
  </si>
  <si>
    <t>ACT-033</t>
  </si>
  <si>
    <t>ACT-059</t>
  </si>
  <si>
    <t>ACT-055</t>
  </si>
  <si>
    <t>ACT-087</t>
  </si>
  <si>
    <t>ACT-054</t>
  </si>
  <si>
    <t>ACT-032</t>
  </si>
  <si>
    <t>ACT-051</t>
  </si>
  <si>
    <t>ACT-060</t>
  </si>
  <si>
    <t>ACT-034</t>
  </si>
  <si>
    <t>ACT-001</t>
  </si>
  <si>
    <t>ACT-074</t>
  </si>
  <si>
    <t>ACT-003</t>
  </si>
  <si>
    <t>ACT-086</t>
  </si>
  <si>
    <t>ACT-030</t>
  </si>
  <si>
    <t>ACT-091</t>
  </si>
  <si>
    <t>ACT-047</t>
  </si>
  <si>
    <t>ACT-079</t>
  </si>
  <si>
    <t>ACT-117</t>
  </si>
  <si>
    <t>ACT-092</t>
  </si>
  <si>
    <t>ACT-039</t>
  </si>
  <si>
    <t>ACT-015</t>
  </si>
  <si>
    <t>ACT-020</t>
  </si>
  <si>
    <t>ACT-089</t>
  </si>
  <si>
    <t>ACT-018</t>
  </si>
  <si>
    <t>ACT-105</t>
  </si>
  <si>
    <t>ACT-048</t>
  </si>
  <si>
    <t>ACT-002</t>
  </si>
  <si>
    <t>ACT-046</t>
  </si>
  <si>
    <t>ACT-102</t>
  </si>
  <si>
    <t>ACT-101</t>
  </si>
  <si>
    <t>ACT-049</t>
  </si>
  <si>
    <t>ACT-043</t>
  </si>
  <si>
    <t>ACT-104</t>
  </si>
  <si>
    <t>ACT-011</t>
  </si>
  <si>
    <t>ACT-031</t>
  </si>
  <si>
    <t>ACT-066</t>
  </si>
  <si>
    <t>ACT-085</t>
  </si>
  <si>
    <t>ACT-035</t>
  </si>
  <si>
    <t>ACT-120</t>
  </si>
  <si>
    <t>FMS DASHBOARD – FIELD ACTIVITY TRACKER</t>
  </si>
  <si>
    <t>Field Management System (FMS) summary based on the sample activity log.</t>
  </si>
  <si>
    <t>Metric</t>
  </si>
  <si>
    <t>Value</t>
  </si>
  <si>
    <t>Total field activities</t>
  </si>
  <si>
    <t>Activities meeting TAT</t>
  </si>
  <si>
    <t>Activities exceeding TAT</t>
  </si>
  <si>
    <t>Checklist marked complete</t>
  </si>
  <si>
    <t>CHECKLIST COMPLIANCE DASHBOARD</t>
  </si>
  <si>
    <t>Checklist Status</t>
  </si>
  <si>
    <t>Complete</t>
  </si>
  <si>
    <t>Incomplete</t>
  </si>
  <si>
    <t>Not Applicable</t>
  </si>
  <si>
    <t>Compliance Rate</t>
  </si>
  <si>
    <t>MONTHLY MIS REPORT</t>
  </si>
  <si>
    <t>Monthly snapshot for management review. The reporting period can be changed in the source data.</t>
  </si>
  <si>
    <t>Month</t>
  </si>
  <si>
    <t>LOOKUP FORMULA PRACTICE</t>
  </si>
  <si>
    <t>Enter an Activity ID in B3 (example: ACT-001)</t>
  </si>
  <si>
    <t>Field</t>
  </si>
  <si>
    <t>XLOOKUP (Excel 365)</t>
  </si>
  <si>
    <t>VLOOKUP</t>
  </si>
  <si>
    <t>Tip</t>
  </si>
  <si>
    <t>If XLOOKUP is unavailable in your Excel version, use the VLOOKUP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</si>
</sst>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0.0%"/>
    <numFmt numFmtId="167" formatCode="mmm\-yyyy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i/>
      <sz val="11"/>
      <color rgb="FF666666"/>
      <name val="Calibri"/>
    </font>
    <font>
      <b/>
      <sz val="16"/>
      <color rgb="FF17365D"/>
      <name val="Calibri"/>
    </font>
    <font>
      <b/>
      <sz val="16"/>
      <color rgb="FFFFFFFF"/>
      <name val="Calibri"/>
    </font>
    <font>
      <b/>
      <sz val="14"/>
      <color rgb="FF17365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D9EAF7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wrapText="1"/>
    </xf>
    <xf numFmtId="16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2" fillId="3" borderId="0" xfId="0" applyFont="1" applyFill="1"/>
    <xf numFmtId="0" fontId="0" fillId="6" borderId="0" xfId="0" applyFill="1" applyAlignment="1">
      <alignment vertical="center"/>
    </xf>
    <xf numFmtId="166" fontId="7" fillId="0" borderId="0" xfId="0" applyNumberFormat="1" applyFont="1" applyAlignment="1">
      <alignment vertical="center"/>
    </xf>
    <xf numFmtId="0" fontId="2" fillId="3" borderId="0" xfId="0" applyFont="1" applyFill="1" applyAlignment="1">
      <alignment wrapText="1"/>
    </xf>
    <xf numFmtId="167" fontId="0" fillId="0" borderId="0" xfId="0" applyNumberFormat="1" applyAlignment="1">
      <alignment vertical="center"/>
    </xf>
    <xf numFmtId="0" fontId="0" fillId="0" borderId="0" xfId="0"/>
    <xf numFmtId="0" fontId="1" fillId="2" borderId="0" xfId="0" applyFont="1" applyFill="1" applyAlignment="1">
      <alignment vertic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5" borderId="0" xfId="0" applyFont="1" applyFill="1" applyAlignment="1">
      <alignment horizontal="center"/>
    </xf>
    <xf numFmtId="166" fontId="5" fillId="5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Activities by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Dashboard!$A$13:$A$16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In Progress</c:v>
                </c:pt>
                <c:pt idx="3">
                  <c:v>Cancelled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80</c:v>
                </c:pt>
                <c:pt idx="1">
                  <c:v>7</c:v>
                </c:pt>
                <c:pt idx="2">
                  <c:v>24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D-4B51-8B13-C731D241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Activities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Dashboard!$D$13:$D$16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Dashboard!$E$13:$E$16</c:f>
              <c:numCache>
                <c:formatCode>General</c:formatCode>
                <c:ptCount val="4"/>
                <c:pt idx="0">
                  <c:v>24</c:v>
                </c:pt>
                <c:pt idx="1">
                  <c:v>31</c:v>
                </c:pt>
                <c:pt idx="2">
                  <c:v>31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C-4215-B979-A715DB4CF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Activities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Checklist Status Split</a:t>
            </a:r>
          </a:p>
        </c:rich>
      </c:tx>
      <c:layout>
        <c:manualLayout>
          <c:xMode val="edge"/>
          <c:yMode val="edge"/>
          <c:x val="0.47357847222222227"/>
          <c:y val="2.2048611111111113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'Checklist Summary'!$B$3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'Checklist Summary'!$A$4:$A$6</c:f>
              <c:strCache>
                <c:ptCount val="3"/>
                <c:pt idx="0">
                  <c:v>Complete</c:v>
                </c:pt>
                <c:pt idx="1">
                  <c:v>Incomplete</c:v>
                </c:pt>
                <c:pt idx="2">
                  <c:v>Not Applicable</c:v>
                </c:pt>
              </c:strCache>
            </c:strRef>
          </c:cat>
          <c:val>
            <c:numRef>
              <c:f>'Checklist Summary'!$B$4:$B$6</c:f>
              <c:numCache>
                <c:formatCode>General</c:formatCode>
                <c:ptCount val="3"/>
                <c:pt idx="0">
                  <c:v>95</c:v>
                </c:pt>
                <c:pt idx="1">
                  <c:v>16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3-460C-A36E-F6E4C9BD4B2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18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8" width="18" customWidth="1"/>
  </cols>
  <sheetData>
    <row r="1" spans="1:8" ht="23.4" x14ac:dyDescent="0.3">
      <c r="A1" s="13" t="s">
        <v>0</v>
      </c>
      <c r="B1" s="12"/>
      <c r="C1" s="12"/>
      <c r="D1" s="12"/>
      <c r="E1" s="12"/>
      <c r="F1" s="12"/>
      <c r="G1" s="12"/>
      <c r="H1" s="12"/>
    </row>
    <row r="2" spans="1:8" x14ac:dyDescent="0.3">
      <c r="A2" s="15" t="s">
        <v>1</v>
      </c>
      <c r="B2" s="12"/>
      <c r="C2" s="12"/>
      <c r="D2" s="12"/>
      <c r="E2" s="12"/>
      <c r="F2" s="12"/>
      <c r="G2" s="12"/>
      <c r="H2" s="12"/>
    </row>
    <row r="4" spans="1:8" x14ac:dyDescent="0.3">
      <c r="A4" s="14" t="s">
        <v>2</v>
      </c>
      <c r="B4" s="12"/>
      <c r="C4" s="14" t="s">
        <v>3</v>
      </c>
      <c r="D4" s="12"/>
      <c r="E4" s="14" t="s">
        <v>4</v>
      </c>
      <c r="F4" s="12"/>
    </row>
    <row r="5" spans="1:8" ht="21" x14ac:dyDescent="0.4">
      <c r="A5" s="16">
        <f>COUNTA('Activity Data'!A2:A121)</f>
        <v>120</v>
      </c>
      <c r="B5" s="12"/>
      <c r="C5" s="16">
        <f>COUNTIF('Activity Data'!H2:H121,"Completed")</f>
        <v>80</v>
      </c>
      <c r="D5" s="12"/>
      <c r="E5" s="16">
        <f>COUNTIF('Activity Data'!H2:H121,"Pending")+COUNTIF('Activity Data'!H2:H121,"In Progress")</f>
        <v>31</v>
      </c>
      <c r="F5" s="12"/>
    </row>
    <row r="7" spans="1:8" x14ac:dyDescent="0.3">
      <c r="A7" s="14" t="s">
        <v>5</v>
      </c>
      <c r="B7" s="12"/>
      <c r="C7" s="14" t="s">
        <v>6</v>
      </c>
      <c r="D7" s="12"/>
      <c r="E7" s="14" t="s">
        <v>7</v>
      </c>
      <c r="F7" s="12"/>
    </row>
    <row r="8" spans="1:8" ht="21" x14ac:dyDescent="0.4">
      <c r="A8" s="17">
        <f>IFERROR(B5/B4,0)</f>
        <v>0</v>
      </c>
      <c r="B8" s="12"/>
      <c r="C8" s="17">
        <f>IFERROR(COUNTIF('Activity Data'!J2:J121,"Yes")/COUNTIF('Activity Data'!J2:J121,"&lt;&gt;N/A"),0)</f>
        <v>0.50450450450450446</v>
      </c>
      <c r="D8" s="12"/>
      <c r="E8" s="17">
        <f>IFERROR(COUNTIF('Activity Data'!I2:I121,"Yes")/(COUNTIF('Activity Data'!I2:I121,"Yes")+COUNTIF('Activity Data'!I2:I121,"No")),0)</f>
        <v>0.85585585585585588</v>
      </c>
      <c r="F8" s="12"/>
    </row>
    <row r="11" spans="1:8" x14ac:dyDescent="0.3">
      <c r="A11" s="2" t="s">
        <v>8</v>
      </c>
      <c r="D11" s="2" t="s">
        <v>9</v>
      </c>
    </row>
    <row r="12" spans="1:8" x14ac:dyDescent="0.3">
      <c r="A12" s="3" t="s">
        <v>10</v>
      </c>
      <c r="B12" s="3" t="s">
        <v>11</v>
      </c>
      <c r="D12" s="3" t="s">
        <v>12</v>
      </c>
      <c r="E12" s="3" t="s">
        <v>11</v>
      </c>
    </row>
    <row r="13" spans="1:8" x14ac:dyDescent="0.3">
      <c r="A13" s="3" t="s">
        <v>3</v>
      </c>
      <c r="B13" s="3">
        <f>COUNTIF('Activity Data'!H:H,A13)</f>
        <v>80</v>
      </c>
      <c r="D13" s="3" t="s">
        <v>13</v>
      </c>
      <c r="E13" s="3">
        <f>COUNTIF('Activity Data'!C:C,D13)</f>
        <v>24</v>
      </c>
    </row>
    <row r="14" spans="1:8" x14ac:dyDescent="0.3">
      <c r="A14" s="3" t="s">
        <v>14</v>
      </c>
      <c r="B14" s="3">
        <f>COUNTIF('Activity Data'!H:H,A14)</f>
        <v>7</v>
      </c>
      <c r="D14" s="3" t="s">
        <v>15</v>
      </c>
      <c r="E14" s="3">
        <f>COUNTIF('Activity Data'!C:C,D14)</f>
        <v>31</v>
      </c>
    </row>
    <row r="15" spans="1:8" x14ac:dyDescent="0.3">
      <c r="A15" s="3" t="s">
        <v>16</v>
      </c>
      <c r="B15" s="3">
        <f>COUNTIF('Activity Data'!H:H,A15)</f>
        <v>24</v>
      </c>
      <c r="D15" s="3" t="s">
        <v>17</v>
      </c>
      <c r="E15" s="3">
        <f>COUNTIF('Activity Data'!C:C,D15)</f>
        <v>31</v>
      </c>
    </row>
    <row r="16" spans="1:8" x14ac:dyDescent="0.3">
      <c r="A16" s="3" t="s">
        <v>18</v>
      </c>
      <c r="B16" s="3">
        <f>COUNTIF('Activity Data'!H:H,A16)</f>
        <v>9</v>
      </c>
      <c r="D16" s="3" t="s">
        <v>19</v>
      </c>
      <c r="E16" s="3">
        <f>COUNTIF('Activity Data'!C:C,D16)</f>
        <v>34</v>
      </c>
    </row>
  </sheetData>
  <mergeCells count="14">
    <mergeCell ref="A8:B8"/>
    <mergeCell ref="E8:F8"/>
    <mergeCell ref="C8:D8"/>
    <mergeCell ref="C4:D4"/>
    <mergeCell ref="A2:H2"/>
    <mergeCell ref="C5:D5"/>
    <mergeCell ref="A5:B5"/>
    <mergeCell ref="E5:F5"/>
    <mergeCell ref="A1:H1"/>
    <mergeCell ref="A4:B4"/>
    <mergeCell ref="E4:F4"/>
    <mergeCell ref="C7:D7"/>
    <mergeCell ref="A7:B7"/>
    <mergeCell ref="E7:F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6" customWidth="1"/>
    <col min="3" max="3" width="14" customWidth="1"/>
    <col min="4" max="4" width="20" customWidth="1"/>
    <col min="5" max="5" width="16" customWidth="1"/>
    <col min="6" max="7" width="18" customWidth="1"/>
    <col min="8" max="8" width="16" customWidth="1"/>
    <col min="9" max="9" width="20" customWidth="1"/>
    <col min="10" max="10" width="12" customWidth="1"/>
  </cols>
  <sheetData>
    <row r="1" spans="1:10" x14ac:dyDescent="0.3">
      <c r="A1" s="4" t="s">
        <v>20</v>
      </c>
      <c r="B1" s="4" t="s">
        <v>21</v>
      </c>
      <c r="C1" s="4" t="s">
        <v>12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10</v>
      </c>
      <c r="I1" s="4" t="s">
        <v>26</v>
      </c>
      <c r="J1" s="4" t="s">
        <v>27</v>
      </c>
    </row>
    <row r="2" spans="1:10" x14ac:dyDescent="0.3">
      <c r="A2" s="3" t="s">
        <v>28</v>
      </c>
      <c r="B2" s="5">
        <v>46235</v>
      </c>
      <c r="C2" s="3" t="s">
        <v>15</v>
      </c>
      <c r="D2" s="3" t="s">
        <v>29</v>
      </c>
      <c r="E2" s="3" t="s">
        <v>30</v>
      </c>
      <c r="F2" s="3">
        <v>24</v>
      </c>
      <c r="G2" s="6">
        <v>25</v>
      </c>
      <c r="H2" s="3" t="s">
        <v>3</v>
      </c>
      <c r="I2" s="3" t="s">
        <v>31</v>
      </c>
      <c r="J2" s="3" t="s">
        <v>32</v>
      </c>
    </row>
    <row r="3" spans="1:10" x14ac:dyDescent="0.3">
      <c r="A3" s="3" t="s">
        <v>33</v>
      </c>
      <c r="B3" s="5">
        <v>46235</v>
      </c>
      <c r="C3" s="3" t="s">
        <v>19</v>
      </c>
      <c r="D3" s="3" t="s">
        <v>29</v>
      </c>
      <c r="E3" s="3" t="s">
        <v>34</v>
      </c>
      <c r="F3" s="3">
        <v>24</v>
      </c>
      <c r="G3" s="6">
        <v>26</v>
      </c>
      <c r="H3" s="3" t="s">
        <v>14</v>
      </c>
      <c r="I3" s="3" t="s">
        <v>31</v>
      </c>
      <c r="J3" s="3" t="s">
        <v>32</v>
      </c>
    </row>
    <row r="4" spans="1:10" x14ac:dyDescent="0.3">
      <c r="A4" s="3" t="s">
        <v>35</v>
      </c>
      <c r="B4" s="5">
        <v>46235</v>
      </c>
      <c r="C4" s="3" t="s">
        <v>19</v>
      </c>
      <c r="D4" s="3" t="s">
        <v>36</v>
      </c>
      <c r="E4" s="3" t="s">
        <v>37</v>
      </c>
      <c r="F4" s="3">
        <v>4</v>
      </c>
      <c r="G4" s="6">
        <v>3</v>
      </c>
      <c r="H4" s="3" t="s">
        <v>3</v>
      </c>
      <c r="I4" s="3" t="s">
        <v>31</v>
      </c>
      <c r="J4" s="3" t="s">
        <v>31</v>
      </c>
    </row>
    <row r="5" spans="1:10" x14ac:dyDescent="0.3">
      <c r="A5" s="3" t="s">
        <v>38</v>
      </c>
      <c r="B5" s="5">
        <v>46236</v>
      </c>
      <c r="C5" s="3" t="s">
        <v>19</v>
      </c>
      <c r="D5" s="3" t="s">
        <v>36</v>
      </c>
      <c r="E5" s="3" t="s">
        <v>39</v>
      </c>
      <c r="F5" s="3">
        <v>8</v>
      </c>
      <c r="G5" s="6">
        <v>9</v>
      </c>
      <c r="H5" s="3" t="s">
        <v>16</v>
      </c>
      <c r="I5" s="3" t="s">
        <v>31</v>
      </c>
      <c r="J5" s="3" t="s">
        <v>32</v>
      </c>
    </row>
    <row r="6" spans="1:10" x14ac:dyDescent="0.3">
      <c r="A6" s="3" t="s">
        <v>40</v>
      </c>
      <c r="B6" s="5">
        <v>46236</v>
      </c>
      <c r="C6" s="3" t="s">
        <v>13</v>
      </c>
      <c r="D6" s="3" t="s">
        <v>29</v>
      </c>
      <c r="E6" s="3" t="s">
        <v>30</v>
      </c>
      <c r="F6" s="3">
        <v>24</v>
      </c>
      <c r="G6" s="6">
        <v>35</v>
      </c>
      <c r="H6" s="3" t="s">
        <v>3</v>
      </c>
      <c r="I6" s="3" t="s">
        <v>31</v>
      </c>
      <c r="J6" s="3" t="s">
        <v>32</v>
      </c>
    </row>
    <row r="7" spans="1:10" x14ac:dyDescent="0.3">
      <c r="A7" s="3" t="s">
        <v>41</v>
      </c>
      <c r="B7" s="5">
        <v>46237</v>
      </c>
      <c r="C7" s="3" t="s">
        <v>19</v>
      </c>
      <c r="D7" s="3" t="s">
        <v>36</v>
      </c>
      <c r="E7" s="3" t="s">
        <v>42</v>
      </c>
      <c r="F7" s="3">
        <v>24</v>
      </c>
      <c r="G7" s="6">
        <v>31</v>
      </c>
      <c r="H7" s="3" t="s">
        <v>3</v>
      </c>
      <c r="I7" s="3" t="s">
        <v>31</v>
      </c>
      <c r="J7" s="3" t="s">
        <v>32</v>
      </c>
    </row>
    <row r="8" spans="1:10" x14ac:dyDescent="0.3">
      <c r="A8" s="3" t="s">
        <v>43</v>
      </c>
      <c r="B8" s="5">
        <v>46238</v>
      </c>
      <c r="C8" s="3" t="s">
        <v>15</v>
      </c>
      <c r="D8" s="3" t="s">
        <v>36</v>
      </c>
      <c r="E8" s="3" t="s">
        <v>44</v>
      </c>
      <c r="F8" s="3">
        <v>12</v>
      </c>
      <c r="G8" s="6">
        <v>13</v>
      </c>
      <c r="H8" s="3" t="s">
        <v>3</v>
      </c>
      <c r="I8" s="3" t="s">
        <v>31</v>
      </c>
      <c r="J8" s="3" t="s">
        <v>32</v>
      </c>
    </row>
    <row r="9" spans="1:10" x14ac:dyDescent="0.3">
      <c r="A9" s="3" t="s">
        <v>45</v>
      </c>
      <c r="B9" s="5">
        <v>46238</v>
      </c>
      <c r="C9" s="3" t="s">
        <v>17</v>
      </c>
      <c r="D9" s="3" t="s">
        <v>46</v>
      </c>
      <c r="E9" s="3" t="s">
        <v>39</v>
      </c>
      <c r="F9" s="3">
        <v>4</v>
      </c>
      <c r="G9" s="6">
        <v>2</v>
      </c>
      <c r="H9" s="3" t="s">
        <v>3</v>
      </c>
      <c r="I9" s="3" t="s">
        <v>31</v>
      </c>
      <c r="J9" s="3" t="s">
        <v>31</v>
      </c>
    </row>
    <row r="10" spans="1:10" x14ac:dyDescent="0.3">
      <c r="A10" s="3" t="s">
        <v>47</v>
      </c>
      <c r="B10" s="5">
        <v>46239</v>
      </c>
      <c r="C10" s="3" t="s">
        <v>19</v>
      </c>
      <c r="D10" s="3" t="s">
        <v>48</v>
      </c>
      <c r="E10" s="3" t="s">
        <v>37</v>
      </c>
      <c r="F10" s="3">
        <v>8</v>
      </c>
      <c r="G10" s="6">
        <v>11</v>
      </c>
      <c r="H10" s="3" t="s">
        <v>3</v>
      </c>
      <c r="I10" s="3" t="s">
        <v>32</v>
      </c>
      <c r="J10" s="3" t="s">
        <v>32</v>
      </c>
    </row>
    <row r="11" spans="1:10" x14ac:dyDescent="0.3">
      <c r="A11" s="3" t="s">
        <v>49</v>
      </c>
      <c r="B11" s="5">
        <v>46239</v>
      </c>
      <c r="C11" s="3" t="s">
        <v>15</v>
      </c>
      <c r="D11" s="3" t="s">
        <v>29</v>
      </c>
      <c r="E11" s="3" t="s">
        <v>50</v>
      </c>
      <c r="F11" s="3">
        <v>12</v>
      </c>
      <c r="G11" s="6">
        <v>11</v>
      </c>
      <c r="H11" s="3" t="s">
        <v>3</v>
      </c>
      <c r="I11" s="3" t="s">
        <v>32</v>
      </c>
      <c r="J11" s="3" t="s">
        <v>31</v>
      </c>
    </row>
    <row r="12" spans="1:10" x14ac:dyDescent="0.3">
      <c r="A12" s="3" t="s">
        <v>51</v>
      </c>
      <c r="B12" s="5">
        <v>46239</v>
      </c>
      <c r="C12" s="3" t="s">
        <v>15</v>
      </c>
      <c r="D12" s="3" t="s">
        <v>29</v>
      </c>
      <c r="E12" s="3" t="s">
        <v>42</v>
      </c>
      <c r="F12" s="3">
        <v>24</v>
      </c>
      <c r="G12" s="6">
        <v>20</v>
      </c>
      <c r="H12" s="3" t="s">
        <v>3</v>
      </c>
      <c r="I12" s="3" t="s">
        <v>31</v>
      </c>
      <c r="J12" s="3" t="s">
        <v>31</v>
      </c>
    </row>
    <row r="13" spans="1:10" x14ac:dyDescent="0.3">
      <c r="A13" s="3" t="s">
        <v>52</v>
      </c>
      <c r="B13" s="5">
        <v>46240</v>
      </c>
      <c r="C13" s="3" t="s">
        <v>15</v>
      </c>
      <c r="D13" s="3" t="s">
        <v>29</v>
      </c>
      <c r="E13" s="3" t="s">
        <v>50</v>
      </c>
      <c r="F13" s="3">
        <v>4</v>
      </c>
      <c r="G13" s="6"/>
      <c r="H13" s="3" t="s">
        <v>18</v>
      </c>
      <c r="I13" s="3" t="s">
        <v>53</v>
      </c>
      <c r="J13" s="3" t="s">
        <v>53</v>
      </c>
    </row>
    <row r="14" spans="1:10" x14ac:dyDescent="0.3">
      <c r="A14" s="3" t="s">
        <v>54</v>
      </c>
      <c r="B14" s="5">
        <v>46240</v>
      </c>
      <c r="C14" s="3" t="s">
        <v>17</v>
      </c>
      <c r="D14" s="3" t="s">
        <v>29</v>
      </c>
      <c r="E14" s="3" t="s">
        <v>37</v>
      </c>
      <c r="F14" s="3">
        <v>4</v>
      </c>
      <c r="G14" s="6">
        <v>5</v>
      </c>
      <c r="H14" s="3" t="s">
        <v>3</v>
      </c>
      <c r="I14" s="3" t="s">
        <v>31</v>
      </c>
      <c r="J14" s="3" t="s">
        <v>32</v>
      </c>
    </row>
    <row r="15" spans="1:10" x14ac:dyDescent="0.3">
      <c r="A15" s="3" t="s">
        <v>55</v>
      </c>
      <c r="B15" s="5">
        <v>46240</v>
      </c>
      <c r="C15" s="3" t="s">
        <v>13</v>
      </c>
      <c r="D15" s="3" t="s">
        <v>48</v>
      </c>
      <c r="E15" s="3" t="s">
        <v>56</v>
      </c>
      <c r="F15" s="3">
        <v>4</v>
      </c>
      <c r="G15" s="6">
        <v>6</v>
      </c>
      <c r="H15" s="3" t="s">
        <v>14</v>
      </c>
      <c r="I15" s="3" t="s">
        <v>31</v>
      </c>
      <c r="J15" s="3" t="s">
        <v>32</v>
      </c>
    </row>
    <row r="16" spans="1:10" x14ac:dyDescent="0.3">
      <c r="A16" s="3" t="s">
        <v>57</v>
      </c>
      <c r="B16" s="5">
        <v>46241</v>
      </c>
      <c r="C16" s="3" t="s">
        <v>13</v>
      </c>
      <c r="D16" s="3" t="s">
        <v>48</v>
      </c>
      <c r="E16" s="3" t="s">
        <v>56</v>
      </c>
      <c r="F16" s="3">
        <v>48</v>
      </c>
      <c r="G16" s="6"/>
      <c r="H16" s="3" t="s">
        <v>18</v>
      </c>
      <c r="I16" s="3" t="s">
        <v>53</v>
      </c>
      <c r="J16" s="3" t="s">
        <v>53</v>
      </c>
    </row>
    <row r="17" spans="1:10" x14ac:dyDescent="0.3">
      <c r="A17" s="3" t="s">
        <v>58</v>
      </c>
      <c r="B17" s="5">
        <v>46242</v>
      </c>
      <c r="C17" s="3" t="s">
        <v>15</v>
      </c>
      <c r="D17" s="3" t="s">
        <v>29</v>
      </c>
      <c r="E17" s="3" t="s">
        <v>44</v>
      </c>
      <c r="F17" s="3">
        <v>48</v>
      </c>
      <c r="G17" s="6">
        <v>34</v>
      </c>
      <c r="H17" s="3" t="s">
        <v>3</v>
      </c>
      <c r="I17" s="3" t="s">
        <v>31</v>
      </c>
      <c r="J17" s="3" t="s">
        <v>31</v>
      </c>
    </row>
    <row r="18" spans="1:10" x14ac:dyDescent="0.3">
      <c r="A18" s="3" t="s">
        <v>59</v>
      </c>
      <c r="B18" s="5">
        <v>46242</v>
      </c>
      <c r="C18" s="3" t="s">
        <v>19</v>
      </c>
      <c r="D18" s="3" t="s">
        <v>29</v>
      </c>
      <c r="E18" s="3" t="s">
        <v>39</v>
      </c>
      <c r="F18" s="3">
        <v>24</v>
      </c>
      <c r="G18" s="6">
        <v>25</v>
      </c>
      <c r="H18" s="3" t="s">
        <v>3</v>
      </c>
      <c r="I18" s="3" t="s">
        <v>31</v>
      </c>
      <c r="J18" s="3" t="s">
        <v>32</v>
      </c>
    </row>
    <row r="19" spans="1:10" x14ac:dyDescent="0.3">
      <c r="A19" s="3" t="s">
        <v>60</v>
      </c>
      <c r="B19" s="5">
        <v>46242</v>
      </c>
      <c r="C19" s="3" t="s">
        <v>17</v>
      </c>
      <c r="D19" s="3" t="s">
        <v>46</v>
      </c>
      <c r="E19" s="3" t="s">
        <v>56</v>
      </c>
      <c r="F19" s="3">
        <v>12</v>
      </c>
      <c r="G19" s="6">
        <v>17</v>
      </c>
      <c r="H19" s="3" t="s">
        <v>16</v>
      </c>
      <c r="I19" s="3" t="s">
        <v>31</v>
      </c>
      <c r="J19" s="3" t="s">
        <v>32</v>
      </c>
    </row>
    <row r="20" spans="1:10" x14ac:dyDescent="0.3">
      <c r="A20" s="3" t="s">
        <v>61</v>
      </c>
      <c r="B20" s="5">
        <v>46243</v>
      </c>
      <c r="C20" s="3" t="s">
        <v>15</v>
      </c>
      <c r="D20" s="3" t="s">
        <v>48</v>
      </c>
      <c r="E20" s="3" t="s">
        <v>37</v>
      </c>
      <c r="F20" s="3">
        <v>8</v>
      </c>
      <c r="G20" s="6"/>
      <c r="H20" s="3" t="s">
        <v>18</v>
      </c>
      <c r="I20" s="3" t="s">
        <v>53</v>
      </c>
      <c r="J20" s="3" t="s">
        <v>53</v>
      </c>
    </row>
    <row r="21" spans="1:10" x14ac:dyDescent="0.3">
      <c r="A21" s="3" t="s">
        <v>62</v>
      </c>
      <c r="B21" s="5">
        <v>46244</v>
      </c>
      <c r="C21" s="3" t="s">
        <v>19</v>
      </c>
      <c r="D21" s="3" t="s">
        <v>48</v>
      </c>
      <c r="E21" s="3" t="s">
        <v>39</v>
      </c>
      <c r="F21" s="3">
        <v>48</v>
      </c>
      <c r="G21" s="6">
        <v>30</v>
      </c>
      <c r="H21" s="3" t="s">
        <v>3</v>
      </c>
      <c r="I21" s="3" t="s">
        <v>32</v>
      </c>
      <c r="J21" s="3" t="s">
        <v>31</v>
      </c>
    </row>
    <row r="22" spans="1:10" x14ac:dyDescent="0.3">
      <c r="A22" s="3" t="s">
        <v>63</v>
      </c>
      <c r="B22" s="5">
        <v>46246</v>
      </c>
      <c r="C22" s="3" t="s">
        <v>15</v>
      </c>
      <c r="D22" s="3" t="s">
        <v>46</v>
      </c>
      <c r="E22" s="3" t="s">
        <v>39</v>
      </c>
      <c r="F22" s="3">
        <v>4</v>
      </c>
      <c r="G22" s="6">
        <v>3</v>
      </c>
      <c r="H22" s="3" t="s">
        <v>3</v>
      </c>
      <c r="I22" s="3" t="s">
        <v>31</v>
      </c>
      <c r="J22" s="3" t="s">
        <v>31</v>
      </c>
    </row>
    <row r="23" spans="1:10" x14ac:dyDescent="0.3">
      <c r="A23" s="3" t="s">
        <v>64</v>
      </c>
      <c r="B23" s="5">
        <v>46246</v>
      </c>
      <c r="C23" s="3" t="s">
        <v>17</v>
      </c>
      <c r="D23" s="3" t="s">
        <v>46</v>
      </c>
      <c r="E23" s="3" t="s">
        <v>44</v>
      </c>
      <c r="F23" s="3">
        <v>8</v>
      </c>
      <c r="G23" s="6">
        <v>10</v>
      </c>
      <c r="H23" s="3" t="s">
        <v>16</v>
      </c>
      <c r="I23" s="3" t="s">
        <v>31</v>
      </c>
      <c r="J23" s="3" t="s">
        <v>32</v>
      </c>
    </row>
    <row r="24" spans="1:10" x14ac:dyDescent="0.3">
      <c r="A24" s="3" t="s">
        <v>65</v>
      </c>
      <c r="B24" s="5">
        <v>46247</v>
      </c>
      <c r="C24" s="3" t="s">
        <v>15</v>
      </c>
      <c r="D24" s="3" t="s">
        <v>36</v>
      </c>
      <c r="E24" s="3" t="s">
        <v>44</v>
      </c>
      <c r="F24" s="3">
        <v>48</v>
      </c>
      <c r="G24" s="6">
        <v>48</v>
      </c>
      <c r="H24" s="3" t="s">
        <v>3</v>
      </c>
      <c r="I24" s="3" t="s">
        <v>32</v>
      </c>
      <c r="J24" s="3" t="s">
        <v>31</v>
      </c>
    </row>
    <row r="25" spans="1:10" x14ac:dyDescent="0.3">
      <c r="A25" s="3" t="s">
        <v>66</v>
      </c>
      <c r="B25" s="5">
        <v>46248</v>
      </c>
      <c r="C25" s="3" t="s">
        <v>17</v>
      </c>
      <c r="D25" s="3" t="s">
        <v>46</v>
      </c>
      <c r="E25" s="3" t="s">
        <v>56</v>
      </c>
      <c r="F25" s="3">
        <v>4</v>
      </c>
      <c r="G25" s="6">
        <v>3</v>
      </c>
      <c r="H25" s="3" t="s">
        <v>3</v>
      </c>
      <c r="I25" s="3" t="s">
        <v>31</v>
      </c>
      <c r="J25" s="3" t="s">
        <v>31</v>
      </c>
    </row>
    <row r="26" spans="1:10" x14ac:dyDescent="0.3">
      <c r="A26" s="3" t="s">
        <v>67</v>
      </c>
      <c r="B26" s="5">
        <v>46249</v>
      </c>
      <c r="C26" s="3" t="s">
        <v>19</v>
      </c>
      <c r="D26" s="3" t="s">
        <v>29</v>
      </c>
      <c r="E26" s="3" t="s">
        <v>39</v>
      </c>
      <c r="F26" s="3">
        <v>8</v>
      </c>
      <c r="G26" s="6">
        <v>5</v>
      </c>
      <c r="H26" s="3" t="s">
        <v>3</v>
      </c>
      <c r="I26" s="3" t="s">
        <v>31</v>
      </c>
      <c r="J26" s="3" t="s">
        <v>31</v>
      </c>
    </row>
    <row r="27" spans="1:10" x14ac:dyDescent="0.3">
      <c r="A27" s="3" t="s">
        <v>68</v>
      </c>
      <c r="B27" s="5">
        <v>46250</v>
      </c>
      <c r="C27" s="3" t="s">
        <v>19</v>
      </c>
      <c r="D27" s="3" t="s">
        <v>36</v>
      </c>
      <c r="E27" s="3" t="s">
        <v>30</v>
      </c>
      <c r="F27" s="3">
        <v>48</v>
      </c>
      <c r="G27" s="6">
        <v>52</v>
      </c>
      <c r="H27" s="3" t="s">
        <v>3</v>
      </c>
      <c r="I27" s="3" t="s">
        <v>31</v>
      </c>
      <c r="J27" s="3" t="s">
        <v>32</v>
      </c>
    </row>
    <row r="28" spans="1:10" x14ac:dyDescent="0.3">
      <c r="A28" s="3" t="s">
        <v>69</v>
      </c>
      <c r="B28" s="5">
        <v>46251</v>
      </c>
      <c r="C28" s="3" t="s">
        <v>17</v>
      </c>
      <c r="D28" s="3" t="s">
        <v>48</v>
      </c>
      <c r="E28" s="3" t="s">
        <v>37</v>
      </c>
      <c r="F28" s="3">
        <v>12</v>
      </c>
      <c r="G28" s="6">
        <v>16</v>
      </c>
      <c r="H28" s="3" t="s">
        <v>3</v>
      </c>
      <c r="I28" s="3" t="s">
        <v>31</v>
      </c>
      <c r="J28" s="3" t="s">
        <v>32</v>
      </c>
    </row>
    <row r="29" spans="1:10" x14ac:dyDescent="0.3">
      <c r="A29" s="3" t="s">
        <v>70</v>
      </c>
      <c r="B29" s="5">
        <v>46251</v>
      </c>
      <c r="C29" s="3" t="s">
        <v>17</v>
      </c>
      <c r="D29" s="3" t="s">
        <v>36</v>
      </c>
      <c r="E29" s="3" t="s">
        <v>42</v>
      </c>
      <c r="F29" s="3">
        <v>12</v>
      </c>
      <c r="G29" s="6">
        <v>10</v>
      </c>
      <c r="H29" s="3" t="s">
        <v>3</v>
      </c>
      <c r="I29" s="3" t="s">
        <v>31</v>
      </c>
      <c r="J29" s="3" t="s">
        <v>31</v>
      </c>
    </row>
    <row r="30" spans="1:10" x14ac:dyDescent="0.3">
      <c r="A30" s="3" t="s">
        <v>71</v>
      </c>
      <c r="B30" s="5">
        <v>46252</v>
      </c>
      <c r="C30" s="3" t="s">
        <v>13</v>
      </c>
      <c r="D30" s="3" t="s">
        <v>46</v>
      </c>
      <c r="E30" s="3" t="s">
        <v>39</v>
      </c>
      <c r="F30" s="3">
        <v>24</v>
      </c>
      <c r="G30" s="6">
        <v>19</v>
      </c>
      <c r="H30" s="3" t="s">
        <v>14</v>
      </c>
      <c r="I30" s="3" t="s">
        <v>32</v>
      </c>
      <c r="J30" s="3" t="s">
        <v>31</v>
      </c>
    </row>
    <row r="31" spans="1:10" x14ac:dyDescent="0.3">
      <c r="A31" s="3" t="s">
        <v>72</v>
      </c>
      <c r="B31" s="5">
        <v>46252</v>
      </c>
      <c r="C31" s="3" t="s">
        <v>19</v>
      </c>
      <c r="D31" s="3" t="s">
        <v>29</v>
      </c>
      <c r="E31" s="3" t="s">
        <v>37</v>
      </c>
      <c r="F31" s="3">
        <v>4</v>
      </c>
      <c r="G31" s="6">
        <v>3</v>
      </c>
      <c r="H31" s="3" t="s">
        <v>3</v>
      </c>
      <c r="I31" s="3" t="s">
        <v>31</v>
      </c>
      <c r="J31" s="3" t="s">
        <v>31</v>
      </c>
    </row>
    <row r="32" spans="1:10" x14ac:dyDescent="0.3">
      <c r="A32" s="3" t="s">
        <v>73</v>
      </c>
      <c r="B32" s="5">
        <v>46252</v>
      </c>
      <c r="C32" s="3" t="s">
        <v>19</v>
      </c>
      <c r="D32" s="3" t="s">
        <v>36</v>
      </c>
      <c r="E32" s="3" t="s">
        <v>56</v>
      </c>
      <c r="F32" s="3">
        <v>8</v>
      </c>
      <c r="G32" s="6">
        <v>5</v>
      </c>
      <c r="H32" s="3" t="s">
        <v>3</v>
      </c>
      <c r="I32" s="3" t="s">
        <v>31</v>
      </c>
      <c r="J32" s="3" t="s">
        <v>31</v>
      </c>
    </row>
    <row r="33" spans="1:10" x14ac:dyDescent="0.3">
      <c r="A33" s="3" t="s">
        <v>74</v>
      </c>
      <c r="B33" s="5">
        <v>46253</v>
      </c>
      <c r="C33" s="3" t="s">
        <v>15</v>
      </c>
      <c r="D33" s="3" t="s">
        <v>36</v>
      </c>
      <c r="E33" s="3" t="s">
        <v>37</v>
      </c>
      <c r="F33" s="3">
        <v>12</v>
      </c>
      <c r="G33" s="6">
        <v>13</v>
      </c>
      <c r="H33" s="3" t="s">
        <v>16</v>
      </c>
      <c r="I33" s="3" t="s">
        <v>31</v>
      </c>
      <c r="J33" s="3" t="s">
        <v>32</v>
      </c>
    </row>
    <row r="34" spans="1:10" x14ac:dyDescent="0.3">
      <c r="A34" s="3" t="s">
        <v>75</v>
      </c>
      <c r="B34" s="5">
        <v>46253</v>
      </c>
      <c r="C34" s="3" t="s">
        <v>15</v>
      </c>
      <c r="D34" s="3" t="s">
        <v>29</v>
      </c>
      <c r="E34" s="3" t="s">
        <v>30</v>
      </c>
      <c r="F34" s="3">
        <v>4</v>
      </c>
      <c r="G34" s="6">
        <v>7</v>
      </c>
      <c r="H34" s="3" t="s">
        <v>16</v>
      </c>
      <c r="I34" s="3" t="s">
        <v>31</v>
      </c>
      <c r="J34" s="3" t="s">
        <v>32</v>
      </c>
    </row>
    <row r="35" spans="1:10" x14ac:dyDescent="0.3">
      <c r="A35" s="3" t="s">
        <v>76</v>
      </c>
      <c r="B35" s="5">
        <v>46253</v>
      </c>
      <c r="C35" s="3" t="s">
        <v>19</v>
      </c>
      <c r="D35" s="3" t="s">
        <v>29</v>
      </c>
      <c r="E35" s="3" t="s">
        <v>39</v>
      </c>
      <c r="F35" s="3">
        <v>4</v>
      </c>
      <c r="G35" s="6">
        <v>3</v>
      </c>
      <c r="H35" s="3" t="s">
        <v>3</v>
      </c>
      <c r="I35" s="3" t="s">
        <v>31</v>
      </c>
      <c r="J35" s="3" t="s">
        <v>31</v>
      </c>
    </row>
    <row r="36" spans="1:10" x14ac:dyDescent="0.3">
      <c r="A36" s="3" t="s">
        <v>77</v>
      </c>
      <c r="B36" s="5">
        <v>46253</v>
      </c>
      <c r="C36" s="3" t="s">
        <v>15</v>
      </c>
      <c r="D36" s="3" t="s">
        <v>48</v>
      </c>
      <c r="E36" s="3" t="s">
        <v>30</v>
      </c>
      <c r="F36" s="3">
        <v>8</v>
      </c>
      <c r="G36" s="6">
        <v>9</v>
      </c>
      <c r="H36" s="3" t="s">
        <v>3</v>
      </c>
      <c r="I36" s="3" t="s">
        <v>31</v>
      </c>
      <c r="J36" s="3" t="s">
        <v>32</v>
      </c>
    </row>
    <row r="37" spans="1:10" x14ac:dyDescent="0.3">
      <c r="A37" s="3" t="s">
        <v>78</v>
      </c>
      <c r="B37" s="5">
        <v>46253</v>
      </c>
      <c r="C37" s="3" t="s">
        <v>13</v>
      </c>
      <c r="D37" s="3" t="s">
        <v>29</v>
      </c>
      <c r="E37" s="3" t="s">
        <v>37</v>
      </c>
      <c r="F37" s="3">
        <v>4</v>
      </c>
      <c r="G37" s="6">
        <v>4</v>
      </c>
      <c r="H37" s="3" t="s">
        <v>3</v>
      </c>
      <c r="I37" s="3" t="s">
        <v>31</v>
      </c>
      <c r="J37" s="3" t="s">
        <v>31</v>
      </c>
    </row>
    <row r="38" spans="1:10" x14ac:dyDescent="0.3">
      <c r="A38" s="3" t="s">
        <v>79</v>
      </c>
      <c r="B38" s="5">
        <v>46255</v>
      </c>
      <c r="C38" s="3" t="s">
        <v>13</v>
      </c>
      <c r="D38" s="3" t="s">
        <v>48</v>
      </c>
      <c r="E38" s="3" t="s">
        <v>37</v>
      </c>
      <c r="F38" s="3">
        <v>4</v>
      </c>
      <c r="G38" s="6">
        <v>3</v>
      </c>
      <c r="H38" s="3" t="s">
        <v>3</v>
      </c>
      <c r="I38" s="3" t="s">
        <v>32</v>
      </c>
      <c r="J38" s="3" t="s">
        <v>31</v>
      </c>
    </row>
    <row r="39" spans="1:10" x14ac:dyDescent="0.3">
      <c r="A39" s="3" t="s">
        <v>80</v>
      </c>
      <c r="B39" s="5">
        <v>46255</v>
      </c>
      <c r="C39" s="3" t="s">
        <v>17</v>
      </c>
      <c r="D39" s="3" t="s">
        <v>29</v>
      </c>
      <c r="E39" s="3" t="s">
        <v>37</v>
      </c>
      <c r="F39" s="3">
        <v>8</v>
      </c>
      <c r="G39" s="6">
        <v>11</v>
      </c>
      <c r="H39" s="3" t="s">
        <v>3</v>
      </c>
      <c r="I39" s="3" t="s">
        <v>31</v>
      </c>
      <c r="J39" s="3" t="s">
        <v>32</v>
      </c>
    </row>
    <row r="40" spans="1:10" x14ac:dyDescent="0.3">
      <c r="A40" s="3" t="s">
        <v>81</v>
      </c>
      <c r="B40" s="5">
        <v>46255</v>
      </c>
      <c r="C40" s="3" t="s">
        <v>15</v>
      </c>
      <c r="D40" s="3" t="s">
        <v>29</v>
      </c>
      <c r="E40" s="3" t="s">
        <v>39</v>
      </c>
      <c r="F40" s="3">
        <v>48</v>
      </c>
      <c r="G40" s="6">
        <v>75</v>
      </c>
      <c r="H40" s="3" t="s">
        <v>16</v>
      </c>
      <c r="I40" s="3" t="s">
        <v>31</v>
      </c>
      <c r="J40" s="3" t="s">
        <v>32</v>
      </c>
    </row>
    <row r="41" spans="1:10" x14ac:dyDescent="0.3">
      <c r="A41" s="3" t="s">
        <v>82</v>
      </c>
      <c r="B41" s="5">
        <v>46256</v>
      </c>
      <c r="C41" s="3" t="s">
        <v>17</v>
      </c>
      <c r="D41" s="3" t="s">
        <v>46</v>
      </c>
      <c r="E41" s="3" t="s">
        <v>56</v>
      </c>
      <c r="F41" s="3">
        <v>48</v>
      </c>
      <c r="G41" s="6">
        <v>63</v>
      </c>
      <c r="H41" s="3" t="s">
        <v>3</v>
      </c>
      <c r="I41" s="3" t="s">
        <v>32</v>
      </c>
      <c r="J41" s="3" t="s">
        <v>32</v>
      </c>
    </row>
    <row r="42" spans="1:10" x14ac:dyDescent="0.3">
      <c r="A42" s="3" t="s">
        <v>83</v>
      </c>
      <c r="B42" s="5">
        <v>46256</v>
      </c>
      <c r="C42" s="3" t="s">
        <v>17</v>
      </c>
      <c r="D42" s="3" t="s">
        <v>46</v>
      </c>
      <c r="E42" s="3" t="s">
        <v>30</v>
      </c>
      <c r="F42" s="3">
        <v>24</v>
      </c>
      <c r="G42" s="6">
        <v>26</v>
      </c>
      <c r="H42" s="3" t="s">
        <v>3</v>
      </c>
      <c r="I42" s="3" t="s">
        <v>31</v>
      </c>
      <c r="J42" s="3" t="s">
        <v>32</v>
      </c>
    </row>
    <row r="43" spans="1:10" x14ac:dyDescent="0.3">
      <c r="A43" s="3" t="s">
        <v>84</v>
      </c>
      <c r="B43" s="5">
        <v>46256</v>
      </c>
      <c r="C43" s="3" t="s">
        <v>17</v>
      </c>
      <c r="D43" s="3" t="s">
        <v>46</v>
      </c>
      <c r="E43" s="3" t="s">
        <v>42</v>
      </c>
      <c r="F43" s="3">
        <v>48</v>
      </c>
      <c r="G43" s="6">
        <v>31</v>
      </c>
      <c r="H43" s="3" t="s">
        <v>3</v>
      </c>
      <c r="I43" s="3" t="s">
        <v>31</v>
      </c>
      <c r="J43" s="3" t="s">
        <v>31</v>
      </c>
    </row>
    <row r="44" spans="1:10" x14ac:dyDescent="0.3">
      <c r="A44" s="3" t="s">
        <v>85</v>
      </c>
      <c r="B44" s="5">
        <v>46256</v>
      </c>
      <c r="C44" s="3" t="s">
        <v>13</v>
      </c>
      <c r="D44" s="3" t="s">
        <v>46</v>
      </c>
      <c r="E44" s="3" t="s">
        <v>44</v>
      </c>
      <c r="F44" s="3">
        <v>48</v>
      </c>
      <c r="G44" s="6">
        <v>34</v>
      </c>
      <c r="H44" s="3" t="s">
        <v>3</v>
      </c>
      <c r="I44" s="3" t="s">
        <v>31</v>
      </c>
      <c r="J44" s="3" t="s">
        <v>31</v>
      </c>
    </row>
    <row r="45" spans="1:10" x14ac:dyDescent="0.3">
      <c r="A45" s="3" t="s">
        <v>86</v>
      </c>
      <c r="B45" s="5">
        <v>46257</v>
      </c>
      <c r="C45" s="3" t="s">
        <v>17</v>
      </c>
      <c r="D45" s="3" t="s">
        <v>36</v>
      </c>
      <c r="E45" s="3" t="s">
        <v>50</v>
      </c>
      <c r="F45" s="3">
        <v>4</v>
      </c>
      <c r="G45" s="6">
        <v>5</v>
      </c>
      <c r="H45" s="3" t="s">
        <v>3</v>
      </c>
      <c r="I45" s="3" t="s">
        <v>31</v>
      </c>
      <c r="J45" s="3" t="s">
        <v>32</v>
      </c>
    </row>
    <row r="46" spans="1:10" x14ac:dyDescent="0.3">
      <c r="A46" s="3" t="s">
        <v>87</v>
      </c>
      <c r="B46" s="5">
        <v>46257</v>
      </c>
      <c r="C46" s="3" t="s">
        <v>19</v>
      </c>
      <c r="D46" s="3" t="s">
        <v>46</v>
      </c>
      <c r="E46" s="3" t="s">
        <v>34</v>
      </c>
      <c r="F46" s="3">
        <v>12</v>
      </c>
      <c r="G46" s="6">
        <v>9</v>
      </c>
      <c r="H46" s="3" t="s">
        <v>3</v>
      </c>
      <c r="I46" s="3" t="s">
        <v>31</v>
      </c>
      <c r="J46" s="3" t="s">
        <v>31</v>
      </c>
    </row>
    <row r="47" spans="1:10" x14ac:dyDescent="0.3">
      <c r="A47" s="3" t="s">
        <v>88</v>
      </c>
      <c r="B47" s="5">
        <v>46258</v>
      </c>
      <c r="C47" s="3" t="s">
        <v>17</v>
      </c>
      <c r="D47" s="3" t="s">
        <v>48</v>
      </c>
      <c r="E47" s="3" t="s">
        <v>50</v>
      </c>
      <c r="F47" s="3">
        <v>24</v>
      </c>
      <c r="G47" s="6">
        <v>43</v>
      </c>
      <c r="H47" s="3" t="s">
        <v>16</v>
      </c>
      <c r="I47" s="3" t="s">
        <v>32</v>
      </c>
      <c r="J47" s="3" t="s">
        <v>32</v>
      </c>
    </row>
    <row r="48" spans="1:10" x14ac:dyDescent="0.3">
      <c r="A48" s="3" t="s">
        <v>89</v>
      </c>
      <c r="B48" s="5">
        <v>46258</v>
      </c>
      <c r="C48" s="3" t="s">
        <v>19</v>
      </c>
      <c r="D48" s="3" t="s">
        <v>48</v>
      </c>
      <c r="E48" s="3" t="s">
        <v>39</v>
      </c>
      <c r="F48" s="3">
        <v>4</v>
      </c>
      <c r="G48" s="6">
        <v>4</v>
      </c>
      <c r="H48" s="3" t="s">
        <v>3</v>
      </c>
      <c r="I48" s="3" t="s">
        <v>31</v>
      </c>
      <c r="J48" s="3" t="s">
        <v>31</v>
      </c>
    </row>
    <row r="49" spans="1:10" x14ac:dyDescent="0.3">
      <c r="A49" s="3" t="s">
        <v>90</v>
      </c>
      <c r="B49" s="5">
        <v>46259</v>
      </c>
      <c r="C49" s="3" t="s">
        <v>17</v>
      </c>
      <c r="D49" s="3" t="s">
        <v>46</v>
      </c>
      <c r="E49" s="3" t="s">
        <v>56</v>
      </c>
      <c r="F49" s="3">
        <v>12</v>
      </c>
      <c r="G49" s="6">
        <v>14</v>
      </c>
      <c r="H49" s="3" t="s">
        <v>3</v>
      </c>
      <c r="I49" s="3" t="s">
        <v>31</v>
      </c>
      <c r="J49" s="3" t="s">
        <v>32</v>
      </c>
    </row>
    <row r="50" spans="1:10" x14ac:dyDescent="0.3">
      <c r="A50" s="3" t="s">
        <v>91</v>
      </c>
      <c r="B50" s="5">
        <v>46260</v>
      </c>
      <c r="C50" s="3" t="s">
        <v>17</v>
      </c>
      <c r="D50" s="3" t="s">
        <v>36</v>
      </c>
      <c r="E50" s="3" t="s">
        <v>34</v>
      </c>
      <c r="F50" s="3">
        <v>48</v>
      </c>
      <c r="G50" s="6">
        <v>44</v>
      </c>
      <c r="H50" s="3" t="s">
        <v>16</v>
      </c>
      <c r="I50" s="3" t="s">
        <v>31</v>
      </c>
      <c r="J50" s="3" t="s">
        <v>31</v>
      </c>
    </row>
    <row r="51" spans="1:10" x14ac:dyDescent="0.3">
      <c r="A51" s="3" t="s">
        <v>92</v>
      </c>
      <c r="B51" s="5">
        <v>46260</v>
      </c>
      <c r="C51" s="3" t="s">
        <v>13</v>
      </c>
      <c r="D51" s="3" t="s">
        <v>36</v>
      </c>
      <c r="E51" s="3" t="s">
        <v>50</v>
      </c>
      <c r="F51" s="3">
        <v>12</v>
      </c>
      <c r="G51" s="6">
        <v>14</v>
      </c>
      <c r="H51" s="3" t="s">
        <v>3</v>
      </c>
      <c r="I51" s="3" t="s">
        <v>32</v>
      </c>
      <c r="J51" s="3" t="s">
        <v>32</v>
      </c>
    </row>
    <row r="52" spans="1:10" x14ac:dyDescent="0.3">
      <c r="A52" s="3" t="s">
        <v>93</v>
      </c>
      <c r="B52" s="5">
        <v>46260</v>
      </c>
      <c r="C52" s="3" t="s">
        <v>19</v>
      </c>
      <c r="D52" s="3" t="s">
        <v>36</v>
      </c>
      <c r="E52" s="3" t="s">
        <v>42</v>
      </c>
      <c r="F52" s="3">
        <v>8</v>
      </c>
      <c r="G52" s="6">
        <v>14</v>
      </c>
      <c r="H52" s="3" t="s">
        <v>16</v>
      </c>
      <c r="I52" s="3" t="s">
        <v>32</v>
      </c>
      <c r="J52" s="3" t="s">
        <v>32</v>
      </c>
    </row>
    <row r="53" spans="1:10" x14ac:dyDescent="0.3">
      <c r="A53" s="3" t="s">
        <v>94</v>
      </c>
      <c r="B53" s="5">
        <v>46260</v>
      </c>
      <c r="C53" s="3" t="s">
        <v>15</v>
      </c>
      <c r="D53" s="3" t="s">
        <v>29</v>
      </c>
      <c r="E53" s="3" t="s">
        <v>44</v>
      </c>
      <c r="F53" s="3">
        <v>12</v>
      </c>
      <c r="G53" s="6">
        <v>17</v>
      </c>
      <c r="H53" s="3" t="s">
        <v>3</v>
      </c>
      <c r="I53" s="3" t="s">
        <v>31</v>
      </c>
      <c r="J53" s="3" t="s">
        <v>32</v>
      </c>
    </row>
    <row r="54" spans="1:10" x14ac:dyDescent="0.3">
      <c r="A54" s="3" t="s">
        <v>95</v>
      </c>
      <c r="B54" s="5">
        <v>46261</v>
      </c>
      <c r="C54" s="3" t="s">
        <v>13</v>
      </c>
      <c r="D54" s="3" t="s">
        <v>46</v>
      </c>
      <c r="E54" s="3" t="s">
        <v>30</v>
      </c>
      <c r="F54" s="3">
        <v>4</v>
      </c>
      <c r="G54" s="6">
        <v>5</v>
      </c>
      <c r="H54" s="3" t="s">
        <v>3</v>
      </c>
      <c r="I54" s="3" t="s">
        <v>31</v>
      </c>
      <c r="J54" s="3" t="s">
        <v>32</v>
      </c>
    </row>
    <row r="55" spans="1:10" x14ac:dyDescent="0.3">
      <c r="A55" s="3" t="s">
        <v>96</v>
      </c>
      <c r="B55" s="5">
        <v>46261</v>
      </c>
      <c r="C55" s="3" t="s">
        <v>19</v>
      </c>
      <c r="D55" s="3" t="s">
        <v>29</v>
      </c>
      <c r="E55" s="3" t="s">
        <v>42</v>
      </c>
      <c r="F55" s="3">
        <v>8</v>
      </c>
      <c r="G55" s="6">
        <v>10</v>
      </c>
      <c r="H55" s="3" t="s">
        <v>16</v>
      </c>
      <c r="I55" s="3" t="s">
        <v>31</v>
      </c>
      <c r="J55" s="3" t="s">
        <v>32</v>
      </c>
    </row>
    <row r="56" spans="1:10" x14ac:dyDescent="0.3">
      <c r="A56" s="3" t="s">
        <v>97</v>
      </c>
      <c r="B56" s="5">
        <v>46263</v>
      </c>
      <c r="C56" s="3" t="s">
        <v>13</v>
      </c>
      <c r="D56" s="3" t="s">
        <v>36</v>
      </c>
      <c r="E56" s="3" t="s">
        <v>34</v>
      </c>
      <c r="F56" s="3">
        <v>12</v>
      </c>
      <c r="G56" s="6">
        <v>14</v>
      </c>
      <c r="H56" s="3" t="s">
        <v>16</v>
      </c>
      <c r="I56" s="3" t="s">
        <v>31</v>
      </c>
      <c r="J56" s="3" t="s">
        <v>32</v>
      </c>
    </row>
    <row r="57" spans="1:10" x14ac:dyDescent="0.3">
      <c r="A57" s="3" t="s">
        <v>98</v>
      </c>
      <c r="B57" s="5">
        <v>46263</v>
      </c>
      <c r="C57" s="3" t="s">
        <v>13</v>
      </c>
      <c r="D57" s="3" t="s">
        <v>36</v>
      </c>
      <c r="E57" s="3" t="s">
        <v>34</v>
      </c>
      <c r="F57" s="3">
        <v>12</v>
      </c>
      <c r="G57" s="6">
        <v>9</v>
      </c>
      <c r="H57" s="3" t="s">
        <v>3</v>
      </c>
      <c r="I57" s="3" t="s">
        <v>31</v>
      </c>
      <c r="J57" s="3" t="s">
        <v>31</v>
      </c>
    </row>
    <row r="58" spans="1:10" x14ac:dyDescent="0.3">
      <c r="A58" s="3" t="s">
        <v>99</v>
      </c>
      <c r="B58" s="5">
        <v>46263</v>
      </c>
      <c r="C58" s="3" t="s">
        <v>19</v>
      </c>
      <c r="D58" s="3" t="s">
        <v>46</v>
      </c>
      <c r="E58" s="3" t="s">
        <v>39</v>
      </c>
      <c r="F58" s="3">
        <v>24</v>
      </c>
      <c r="G58" s="6">
        <v>29</v>
      </c>
      <c r="H58" s="3" t="s">
        <v>16</v>
      </c>
      <c r="I58" s="3" t="s">
        <v>31</v>
      </c>
      <c r="J58" s="3" t="s">
        <v>32</v>
      </c>
    </row>
    <row r="59" spans="1:10" x14ac:dyDescent="0.3">
      <c r="A59" s="3" t="s">
        <v>100</v>
      </c>
      <c r="B59" s="5">
        <v>46263</v>
      </c>
      <c r="C59" s="3" t="s">
        <v>17</v>
      </c>
      <c r="D59" s="3" t="s">
        <v>46</v>
      </c>
      <c r="E59" s="3" t="s">
        <v>44</v>
      </c>
      <c r="F59" s="3">
        <v>48</v>
      </c>
      <c r="G59" s="6">
        <v>65</v>
      </c>
      <c r="H59" s="3" t="s">
        <v>16</v>
      </c>
      <c r="I59" s="3" t="s">
        <v>31</v>
      </c>
      <c r="J59" s="3" t="s">
        <v>32</v>
      </c>
    </row>
    <row r="60" spans="1:10" x14ac:dyDescent="0.3">
      <c r="A60" s="3" t="s">
        <v>101</v>
      </c>
      <c r="B60" s="5">
        <v>46264</v>
      </c>
      <c r="C60" s="3" t="s">
        <v>13</v>
      </c>
      <c r="D60" s="3" t="s">
        <v>29</v>
      </c>
      <c r="E60" s="3" t="s">
        <v>56</v>
      </c>
      <c r="F60" s="3">
        <v>8</v>
      </c>
      <c r="G60" s="6">
        <v>6</v>
      </c>
      <c r="H60" s="3" t="s">
        <v>16</v>
      </c>
      <c r="I60" s="3" t="s">
        <v>31</v>
      </c>
      <c r="J60" s="3" t="s">
        <v>31</v>
      </c>
    </row>
    <row r="61" spans="1:10" x14ac:dyDescent="0.3">
      <c r="A61" s="3" t="s">
        <v>102</v>
      </c>
      <c r="B61" s="5">
        <v>46265</v>
      </c>
      <c r="C61" s="3" t="s">
        <v>13</v>
      </c>
      <c r="D61" s="3" t="s">
        <v>36</v>
      </c>
      <c r="E61" s="3" t="s">
        <v>56</v>
      </c>
      <c r="F61" s="3">
        <v>4</v>
      </c>
      <c r="G61" s="6">
        <v>4</v>
      </c>
      <c r="H61" s="3" t="s">
        <v>3</v>
      </c>
      <c r="I61" s="3" t="s">
        <v>31</v>
      </c>
      <c r="J61" s="3" t="s">
        <v>31</v>
      </c>
    </row>
    <row r="62" spans="1:10" x14ac:dyDescent="0.3">
      <c r="A62" s="3" t="s">
        <v>103</v>
      </c>
      <c r="B62" s="5">
        <v>46266</v>
      </c>
      <c r="C62" s="3" t="s">
        <v>15</v>
      </c>
      <c r="D62" s="3" t="s">
        <v>29</v>
      </c>
      <c r="E62" s="3" t="s">
        <v>39</v>
      </c>
      <c r="F62" s="3">
        <v>24</v>
      </c>
      <c r="G62" s="6">
        <v>19</v>
      </c>
      <c r="H62" s="3" t="s">
        <v>3</v>
      </c>
      <c r="I62" s="3" t="s">
        <v>31</v>
      </c>
      <c r="J62" s="3" t="s">
        <v>31</v>
      </c>
    </row>
    <row r="63" spans="1:10" x14ac:dyDescent="0.3">
      <c r="A63" s="3" t="s">
        <v>104</v>
      </c>
      <c r="B63" s="5">
        <v>46266</v>
      </c>
      <c r="C63" s="3" t="s">
        <v>17</v>
      </c>
      <c r="D63" s="3" t="s">
        <v>36</v>
      </c>
      <c r="E63" s="3" t="s">
        <v>37</v>
      </c>
      <c r="F63" s="3">
        <v>24</v>
      </c>
      <c r="G63" s="6">
        <v>19</v>
      </c>
      <c r="H63" s="3" t="s">
        <v>3</v>
      </c>
      <c r="I63" s="3" t="s">
        <v>31</v>
      </c>
      <c r="J63" s="3" t="s">
        <v>31</v>
      </c>
    </row>
    <row r="64" spans="1:10" x14ac:dyDescent="0.3">
      <c r="A64" s="3" t="s">
        <v>105</v>
      </c>
      <c r="B64" s="5">
        <v>46266</v>
      </c>
      <c r="C64" s="3" t="s">
        <v>13</v>
      </c>
      <c r="D64" s="3" t="s">
        <v>36</v>
      </c>
      <c r="E64" s="3" t="s">
        <v>39</v>
      </c>
      <c r="F64" s="3">
        <v>48</v>
      </c>
      <c r="G64" s="6">
        <v>32</v>
      </c>
      <c r="H64" s="3" t="s">
        <v>3</v>
      </c>
      <c r="I64" s="3" t="s">
        <v>31</v>
      </c>
      <c r="J64" s="3" t="s">
        <v>31</v>
      </c>
    </row>
    <row r="65" spans="1:10" x14ac:dyDescent="0.3">
      <c r="A65" s="3" t="s">
        <v>106</v>
      </c>
      <c r="B65" s="5">
        <v>46266</v>
      </c>
      <c r="C65" s="3" t="s">
        <v>17</v>
      </c>
      <c r="D65" s="3" t="s">
        <v>29</v>
      </c>
      <c r="E65" s="3" t="s">
        <v>50</v>
      </c>
      <c r="F65" s="3">
        <v>8</v>
      </c>
      <c r="G65" s="6">
        <v>11</v>
      </c>
      <c r="H65" s="3" t="s">
        <v>3</v>
      </c>
      <c r="I65" s="3" t="s">
        <v>31</v>
      </c>
      <c r="J65" s="3" t="s">
        <v>32</v>
      </c>
    </row>
    <row r="66" spans="1:10" x14ac:dyDescent="0.3">
      <c r="A66" s="3" t="s">
        <v>107</v>
      </c>
      <c r="B66" s="5">
        <v>46266</v>
      </c>
      <c r="C66" s="3" t="s">
        <v>15</v>
      </c>
      <c r="D66" s="3" t="s">
        <v>36</v>
      </c>
      <c r="E66" s="3" t="s">
        <v>44</v>
      </c>
      <c r="F66" s="3">
        <v>48</v>
      </c>
      <c r="G66" s="6">
        <v>46</v>
      </c>
      <c r="H66" s="3" t="s">
        <v>3</v>
      </c>
      <c r="I66" s="3" t="s">
        <v>31</v>
      </c>
      <c r="J66" s="3" t="s">
        <v>31</v>
      </c>
    </row>
    <row r="67" spans="1:10" x14ac:dyDescent="0.3">
      <c r="A67" s="3" t="s">
        <v>108</v>
      </c>
      <c r="B67" s="5">
        <v>46266</v>
      </c>
      <c r="C67" s="3" t="s">
        <v>17</v>
      </c>
      <c r="D67" s="3" t="s">
        <v>46</v>
      </c>
      <c r="E67" s="3" t="s">
        <v>39</v>
      </c>
      <c r="F67" s="3">
        <v>4</v>
      </c>
      <c r="G67" s="6">
        <v>5</v>
      </c>
      <c r="H67" s="3" t="s">
        <v>3</v>
      </c>
      <c r="I67" s="3" t="s">
        <v>31</v>
      </c>
      <c r="J67" s="3" t="s">
        <v>32</v>
      </c>
    </row>
    <row r="68" spans="1:10" x14ac:dyDescent="0.3">
      <c r="A68" s="3" t="s">
        <v>109</v>
      </c>
      <c r="B68" s="5">
        <v>46267</v>
      </c>
      <c r="C68" s="3" t="s">
        <v>17</v>
      </c>
      <c r="D68" s="3" t="s">
        <v>48</v>
      </c>
      <c r="E68" s="3" t="s">
        <v>44</v>
      </c>
      <c r="F68" s="3">
        <v>4</v>
      </c>
      <c r="G68" s="6">
        <v>6</v>
      </c>
      <c r="H68" s="3" t="s">
        <v>3</v>
      </c>
      <c r="I68" s="3" t="s">
        <v>31</v>
      </c>
      <c r="J68" s="3" t="s">
        <v>32</v>
      </c>
    </row>
    <row r="69" spans="1:10" x14ac:dyDescent="0.3">
      <c r="A69" s="3" t="s">
        <v>110</v>
      </c>
      <c r="B69" s="5">
        <v>46267</v>
      </c>
      <c r="C69" s="3" t="s">
        <v>17</v>
      </c>
      <c r="D69" s="3" t="s">
        <v>36</v>
      </c>
      <c r="E69" s="3" t="s">
        <v>34</v>
      </c>
      <c r="F69" s="3">
        <v>8</v>
      </c>
      <c r="G69" s="6">
        <v>8</v>
      </c>
      <c r="H69" s="3" t="s">
        <v>3</v>
      </c>
      <c r="I69" s="3" t="s">
        <v>31</v>
      </c>
      <c r="J69" s="3" t="s">
        <v>31</v>
      </c>
    </row>
    <row r="70" spans="1:10" x14ac:dyDescent="0.3">
      <c r="A70" s="3" t="s">
        <v>111</v>
      </c>
      <c r="B70" s="5">
        <v>46268</v>
      </c>
      <c r="C70" s="3" t="s">
        <v>19</v>
      </c>
      <c r="D70" s="3" t="s">
        <v>29</v>
      </c>
      <c r="E70" s="3" t="s">
        <v>34</v>
      </c>
      <c r="F70" s="3">
        <v>8</v>
      </c>
      <c r="G70" s="6">
        <v>11</v>
      </c>
      <c r="H70" s="3" t="s">
        <v>3</v>
      </c>
      <c r="I70" s="3" t="s">
        <v>31</v>
      </c>
      <c r="J70" s="3" t="s">
        <v>32</v>
      </c>
    </row>
    <row r="71" spans="1:10" x14ac:dyDescent="0.3">
      <c r="A71" s="3" t="s">
        <v>112</v>
      </c>
      <c r="B71" s="5">
        <v>46268</v>
      </c>
      <c r="C71" s="3" t="s">
        <v>19</v>
      </c>
      <c r="D71" s="3" t="s">
        <v>48</v>
      </c>
      <c r="E71" s="3" t="s">
        <v>50</v>
      </c>
      <c r="F71" s="3">
        <v>8</v>
      </c>
      <c r="G71" s="6">
        <v>13</v>
      </c>
      <c r="H71" s="3" t="s">
        <v>14</v>
      </c>
      <c r="I71" s="3" t="s">
        <v>31</v>
      </c>
      <c r="J71" s="3" t="s">
        <v>32</v>
      </c>
    </row>
    <row r="72" spans="1:10" x14ac:dyDescent="0.3">
      <c r="A72" s="3" t="s">
        <v>113</v>
      </c>
      <c r="B72" s="5">
        <v>46269</v>
      </c>
      <c r="C72" s="3" t="s">
        <v>13</v>
      </c>
      <c r="D72" s="3" t="s">
        <v>29</v>
      </c>
      <c r="E72" s="3" t="s">
        <v>50</v>
      </c>
      <c r="F72" s="3">
        <v>8</v>
      </c>
      <c r="G72" s="6">
        <v>9</v>
      </c>
      <c r="H72" s="3" t="s">
        <v>3</v>
      </c>
      <c r="I72" s="3" t="s">
        <v>31</v>
      </c>
      <c r="J72" s="3" t="s">
        <v>32</v>
      </c>
    </row>
    <row r="73" spans="1:10" x14ac:dyDescent="0.3">
      <c r="A73" s="3" t="s">
        <v>114</v>
      </c>
      <c r="B73" s="5">
        <v>46270</v>
      </c>
      <c r="C73" s="3" t="s">
        <v>19</v>
      </c>
      <c r="D73" s="3" t="s">
        <v>48</v>
      </c>
      <c r="E73" s="3" t="s">
        <v>50</v>
      </c>
      <c r="F73" s="3">
        <v>48</v>
      </c>
      <c r="G73" s="6">
        <v>34</v>
      </c>
      <c r="H73" s="3" t="s">
        <v>3</v>
      </c>
      <c r="I73" s="3" t="s">
        <v>31</v>
      </c>
      <c r="J73" s="3" t="s">
        <v>31</v>
      </c>
    </row>
    <row r="74" spans="1:10" x14ac:dyDescent="0.3">
      <c r="A74" s="3" t="s">
        <v>115</v>
      </c>
      <c r="B74" s="5">
        <v>46270</v>
      </c>
      <c r="C74" s="3" t="s">
        <v>19</v>
      </c>
      <c r="D74" s="3" t="s">
        <v>29</v>
      </c>
      <c r="E74" s="3" t="s">
        <v>37</v>
      </c>
      <c r="F74" s="3">
        <v>4</v>
      </c>
      <c r="G74" s="6">
        <v>4</v>
      </c>
      <c r="H74" s="3" t="s">
        <v>3</v>
      </c>
      <c r="I74" s="3" t="s">
        <v>31</v>
      </c>
      <c r="J74" s="3" t="s">
        <v>31</v>
      </c>
    </row>
    <row r="75" spans="1:10" x14ac:dyDescent="0.3">
      <c r="A75" s="3" t="s">
        <v>116</v>
      </c>
      <c r="B75" s="5">
        <v>46271</v>
      </c>
      <c r="C75" s="3" t="s">
        <v>15</v>
      </c>
      <c r="D75" s="3" t="s">
        <v>46</v>
      </c>
      <c r="E75" s="3" t="s">
        <v>56</v>
      </c>
      <c r="F75" s="3">
        <v>12</v>
      </c>
      <c r="G75" s="6">
        <v>13</v>
      </c>
      <c r="H75" s="3" t="s">
        <v>16</v>
      </c>
      <c r="I75" s="3" t="s">
        <v>31</v>
      </c>
      <c r="J75" s="3" t="s">
        <v>32</v>
      </c>
    </row>
    <row r="76" spans="1:10" x14ac:dyDescent="0.3">
      <c r="A76" s="3" t="s">
        <v>117</v>
      </c>
      <c r="B76" s="5">
        <v>46271</v>
      </c>
      <c r="C76" s="3" t="s">
        <v>15</v>
      </c>
      <c r="D76" s="3" t="s">
        <v>29</v>
      </c>
      <c r="E76" s="3" t="s">
        <v>50</v>
      </c>
      <c r="F76" s="3">
        <v>48</v>
      </c>
      <c r="G76" s="6">
        <v>27</v>
      </c>
      <c r="H76" s="3" t="s">
        <v>3</v>
      </c>
      <c r="I76" s="3" t="s">
        <v>31</v>
      </c>
      <c r="J76" s="3" t="s">
        <v>31</v>
      </c>
    </row>
    <row r="77" spans="1:10" x14ac:dyDescent="0.3">
      <c r="A77" s="3" t="s">
        <v>118</v>
      </c>
      <c r="B77" s="5">
        <v>46272</v>
      </c>
      <c r="C77" s="3" t="s">
        <v>15</v>
      </c>
      <c r="D77" s="3" t="s">
        <v>48</v>
      </c>
      <c r="E77" s="3" t="s">
        <v>39</v>
      </c>
      <c r="F77" s="3">
        <v>24</v>
      </c>
      <c r="G77" s="6">
        <v>16</v>
      </c>
      <c r="H77" s="3" t="s">
        <v>3</v>
      </c>
      <c r="I77" s="3" t="s">
        <v>32</v>
      </c>
      <c r="J77" s="3" t="s">
        <v>31</v>
      </c>
    </row>
    <row r="78" spans="1:10" x14ac:dyDescent="0.3">
      <c r="A78" s="3" t="s">
        <v>119</v>
      </c>
      <c r="B78" s="5">
        <v>46272</v>
      </c>
      <c r="C78" s="3" t="s">
        <v>15</v>
      </c>
      <c r="D78" s="3" t="s">
        <v>46</v>
      </c>
      <c r="E78" s="3" t="s">
        <v>42</v>
      </c>
      <c r="F78" s="3">
        <v>24</v>
      </c>
      <c r="G78" s="6">
        <v>20</v>
      </c>
      <c r="H78" s="3" t="s">
        <v>3</v>
      </c>
      <c r="I78" s="3" t="s">
        <v>31</v>
      </c>
      <c r="J78" s="3" t="s">
        <v>31</v>
      </c>
    </row>
    <row r="79" spans="1:10" x14ac:dyDescent="0.3">
      <c r="A79" s="3" t="s">
        <v>120</v>
      </c>
      <c r="B79" s="5">
        <v>46273</v>
      </c>
      <c r="C79" s="3" t="s">
        <v>13</v>
      </c>
      <c r="D79" s="3" t="s">
        <v>48</v>
      </c>
      <c r="E79" s="3" t="s">
        <v>34</v>
      </c>
      <c r="F79" s="3">
        <v>4</v>
      </c>
      <c r="G79" s="6">
        <v>3</v>
      </c>
      <c r="H79" s="3" t="s">
        <v>3</v>
      </c>
      <c r="I79" s="3" t="s">
        <v>31</v>
      </c>
      <c r="J79" s="3" t="s">
        <v>31</v>
      </c>
    </row>
    <row r="80" spans="1:10" x14ac:dyDescent="0.3">
      <c r="A80" s="3" t="s">
        <v>121</v>
      </c>
      <c r="B80" s="5">
        <v>46273</v>
      </c>
      <c r="C80" s="3" t="s">
        <v>15</v>
      </c>
      <c r="D80" s="3" t="s">
        <v>46</v>
      </c>
      <c r="E80" s="3" t="s">
        <v>42</v>
      </c>
      <c r="F80" s="3">
        <v>12</v>
      </c>
      <c r="G80" s="6">
        <v>13</v>
      </c>
      <c r="H80" s="3" t="s">
        <v>16</v>
      </c>
      <c r="I80" s="3" t="s">
        <v>31</v>
      </c>
      <c r="J80" s="3" t="s">
        <v>32</v>
      </c>
    </row>
    <row r="81" spans="1:10" x14ac:dyDescent="0.3">
      <c r="A81" s="3" t="s">
        <v>122</v>
      </c>
      <c r="B81" s="5">
        <v>46273</v>
      </c>
      <c r="C81" s="3" t="s">
        <v>19</v>
      </c>
      <c r="D81" s="3" t="s">
        <v>48</v>
      </c>
      <c r="E81" s="3" t="s">
        <v>37</v>
      </c>
      <c r="F81" s="3">
        <v>4</v>
      </c>
      <c r="G81" s="6">
        <v>3</v>
      </c>
      <c r="H81" s="3" t="s">
        <v>16</v>
      </c>
      <c r="I81" s="3" t="s">
        <v>31</v>
      </c>
      <c r="J81" s="3" t="s">
        <v>31</v>
      </c>
    </row>
    <row r="82" spans="1:10" x14ac:dyDescent="0.3">
      <c r="A82" s="3" t="s">
        <v>123</v>
      </c>
      <c r="B82" s="5">
        <v>46274</v>
      </c>
      <c r="C82" s="3" t="s">
        <v>13</v>
      </c>
      <c r="D82" s="3" t="s">
        <v>48</v>
      </c>
      <c r="E82" s="3" t="s">
        <v>39</v>
      </c>
      <c r="F82" s="3">
        <v>12</v>
      </c>
      <c r="G82" s="6">
        <v>14</v>
      </c>
      <c r="H82" s="3" t="s">
        <v>3</v>
      </c>
      <c r="I82" s="3" t="s">
        <v>31</v>
      </c>
      <c r="J82" s="3" t="s">
        <v>32</v>
      </c>
    </row>
    <row r="83" spans="1:10" x14ac:dyDescent="0.3">
      <c r="A83" s="3" t="s">
        <v>124</v>
      </c>
      <c r="B83" s="5">
        <v>46274</v>
      </c>
      <c r="C83" s="3" t="s">
        <v>19</v>
      </c>
      <c r="D83" s="3" t="s">
        <v>46</v>
      </c>
      <c r="E83" s="3" t="s">
        <v>30</v>
      </c>
      <c r="F83" s="3">
        <v>4</v>
      </c>
      <c r="G83" s="6">
        <v>5</v>
      </c>
      <c r="H83" s="3" t="s">
        <v>3</v>
      </c>
      <c r="I83" s="3" t="s">
        <v>32</v>
      </c>
      <c r="J83" s="3" t="s">
        <v>32</v>
      </c>
    </row>
    <row r="84" spans="1:10" x14ac:dyDescent="0.3">
      <c r="A84" s="3" t="s">
        <v>125</v>
      </c>
      <c r="B84" s="5">
        <v>46276</v>
      </c>
      <c r="C84" s="3" t="s">
        <v>17</v>
      </c>
      <c r="D84" s="3" t="s">
        <v>48</v>
      </c>
      <c r="E84" s="3" t="s">
        <v>42</v>
      </c>
      <c r="F84" s="3">
        <v>48</v>
      </c>
      <c r="G84" s="6">
        <v>52</v>
      </c>
      <c r="H84" s="3" t="s">
        <v>16</v>
      </c>
      <c r="I84" s="3" t="s">
        <v>31</v>
      </c>
      <c r="J84" s="3" t="s">
        <v>32</v>
      </c>
    </row>
    <row r="85" spans="1:10" x14ac:dyDescent="0.3">
      <c r="A85" s="3" t="s">
        <v>126</v>
      </c>
      <c r="B85" s="5">
        <v>46278</v>
      </c>
      <c r="C85" s="3" t="s">
        <v>17</v>
      </c>
      <c r="D85" s="3" t="s">
        <v>29</v>
      </c>
      <c r="E85" s="3" t="s">
        <v>44</v>
      </c>
      <c r="F85" s="3">
        <v>48</v>
      </c>
      <c r="G85" s="6">
        <v>45</v>
      </c>
      <c r="H85" s="3" t="s">
        <v>14</v>
      </c>
      <c r="I85" s="3" t="s">
        <v>32</v>
      </c>
      <c r="J85" s="3" t="s">
        <v>31</v>
      </c>
    </row>
    <row r="86" spans="1:10" x14ac:dyDescent="0.3">
      <c r="A86" s="3" t="s">
        <v>127</v>
      </c>
      <c r="B86" s="5">
        <v>46278</v>
      </c>
      <c r="C86" s="3" t="s">
        <v>17</v>
      </c>
      <c r="D86" s="3" t="s">
        <v>36</v>
      </c>
      <c r="E86" s="3" t="s">
        <v>42</v>
      </c>
      <c r="F86" s="3">
        <v>4</v>
      </c>
      <c r="G86" s="6">
        <v>4</v>
      </c>
      <c r="H86" s="3" t="s">
        <v>3</v>
      </c>
      <c r="I86" s="3" t="s">
        <v>31</v>
      </c>
      <c r="J86" s="3" t="s">
        <v>31</v>
      </c>
    </row>
    <row r="87" spans="1:10" x14ac:dyDescent="0.3">
      <c r="A87" s="3" t="s">
        <v>128</v>
      </c>
      <c r="B87" s="5">
        <v>46279</v>
      </c>
      <c r="C87" s="3" t="s">
        <v>13</v>
      </c>
      <c r="D87" s="3" t="s">
        <v>48</v>
      </c>
      <c r="E87" s="3" t="s">
        <v>39</v>
      </c>
      <c r="F87" s="3">
        <v>24</v>
      </c>
      <c r="G87" s="6">
        <v>30</v>
      </c>
      <c r="H87" s="3" t="s">
        <v>3</v>
      </c>
      <c r="I87" s="3" t="s">
        <v>31</v>
      </c>
      <c r="J87" s="3" t="s">
        <v>32</v>
      </c>
    </row>
    <row r="88" spans="1:10" x14ac:dyDescent="0.3">
      <c r="A88" s="3" t="s">
        <v>129</v>
      </c>
      <c r="B88" s="5">
        <v>46279</v>
      </c>
      <c r="C88" s="3" t="s">
        <v>19</v>
      </c>
      <c r="D88" s="3" t="s">
        <v>48</v>
      </c>
      <c r="E88" s="3" t="s">
        <v>44</v>
      </c>
      <c r="F88" s="3">
        <v>12</v>
      </c>
      <c r="G88" s="6">
        <v>17</v>
      </c>
      <c r="H88" s="3" t="s">
        <v>3</v>
      </c>
      <c r="I88" s="3" t="s">
        <v>31</v>
      </c>
      <c r="J88" s="3" t="s">
        <v>32</v>
      </c>
    </row>
    <row r="89" spans="1:10" x14ac:dyDescent="0.3">
      <c r="A89" s="3" t="s">
        <v>130</v>
      </c>
      <c r="B89" s="5">
        <v>46280</v>
      </c>
      <c r="C89" s="3" t="s">
        <v>13</v>
      </c>
      <c r="D89" s="3" t="s">
        <v>48</v>
      </c>
      <c r="E89" s="3" t="s">
        <v>34</v>
      </c>
      <c r="F89" s="3">
        <v>24</v>
      </c>
      <c r="G89" s="6">
        <v>29</v>
      </c>
      <c r="H89" s="3" t="s">
        <v>3</v>
      </c>
      <c r="I89" s="3" t="s">
        <v>31</v>
      </c>
      <c r="J89" s="3" t="s">
        <v>32</v>
      </c>
    </row>
    <row r="90" spans="1:10" x14ac:dyDescent="0.3">
      <c r="A90" s="3" t="s">
        <v>131</v>
      </c>
      <c r="B90" s="5">
        <v>46280</v>
      </c>
      <c r="C90" s="3" t="s">
        <v>15</v>
      </c>
      <c r="D90" s="3" t="s">
        <v>48</v>
      </c>
      <c r="E90" s="3" t="s">
        <v>39</v>
      </c>
      <c r="F90" s="3">
        <v>48</v>
      </c>
      <c r="G90" s="6">
        <v>43</v>
      </c>
      <c r="H90" s="3" t="s">
        <v>3</v>
      </c>
      <c r="I90" s="3" t="s">
        <v>32</v>
      </c>
      <c r="J90" s="3" t="s">
        <v>31</v>
      </c>
    </row>
    <row r="91" spans="1:10" x14ac:dyDescent="0.3">
      <c r="A91" s="3" t="s">
        <v>132</v>
      </c>
      <c r="B91" s="5">
        <v>46281</v>
      </c>
      <c r="C91" s="3" t="s">
        <v>17</v>
      </c>
      <c r="D91" s="3" t="s">
        <v>29</v>
      </c>
      <c r="E91" s="3" t="s">
        <v>42</v>
      </c>
      <c r="F91" s="3">
        <v>24</v>
      </c>
      <c r="G91" s="6">
        <v>12</v>
      </c>
      <c r="H91" s="3" t="s">
        <v>16</v>
      </c>
      <c r="I91" s="3" t="s">
        <v>31</v>
      </c>
      <c r="J91" s="3" t="s">
        <v>31</v>
      </c>
    </row>
    <row r="92" spans="1:10" x14ac:dyDescent="0.3">
      <c r="A92" s="3" t="s">
        <v>133</v>
      </c>
      <c r="B92" s="5">
        <v>46282</v>
      </c>
      <c r="C92" s="3" t="s">
        <v>13</v>
      </c>
      <c r="D92" s="3" t="s">
        <v>46</v>
      </c>
      <c r="E92" s="3" t="s">
        <v>50</v>
      </c>
      <c r="F92" s="3">
        <v>48</v>
      </c>
      <c r="G92" s="6"/>
      <c r="H92" s="3" t="s">
        <v>18</v>
      </c>
      <c r="I92" s="3" t="s">
        <v>53</v>
      </c>
      <c r="J92" s="3" t="s">
        <v>53</v>
      </c>
    </row>
    <row r="93" spans="1:10" x14ac:dyDescent="0.3">
      <c r="A93" s="3" t="s">
        <v>134</v>
      </c>
      <c r="B93" s="5">
        <v>46283</v>
      </c>
      <c r="C93" s="3" t="s">
        <v>13</v>
      </c>
      <c r="D93" s="3" t="s">
        <v>36</v>
      </c>
      <c r="E93" s="3" t="s">
        <v>56</v>
      </c>
      <c r="F93" s="3">
        <v>12</v>
      </c>
      <c r="G93" s="6">
        <v>17</v>
      </c>
      <c r="H93" s="3" t="s">
        <v>3</v>
      </c>
      <c r="I93" s="3" t="s">
        <v>31</v>
      </c>
      <c r="J93" s="3" t="s">
        <v>32</v>
      </c>
    </row>
    <row r="94" spans="1:10" x14ac:dyDescent="0.3">
      <c r="A94" s="3" t="s">
        <v>135</v>
      </c>
      <c r="B94" s="5">
        <v>46283</v>
      </c>
      <c r="C94" s="3" t="s">
        <v>19</v>
      </c>
      <c r="D94" s="3" t="s">
        <v>36</v>
      </c>
      <c r="E94" s="3" t="s">
        <v>39</v>
      </c>
      <c r="F94" s="3">
        <v>12</v>
      </c>
      <c r="G94" s="6">
        <v>14</v>
      </c>
      <c r="H94" s="3" t="s">
        <v>3</v>
      </c>
      <c r="I94" s="3" t="s">
        <v>31</v>
      </c>
      <c r="J94" s="3" t="s">
        <v>32</v>
      </c>
    </row>
    <row r="95" spans="1:10" x14ac:dyDescent="0.3">
      <c r="A95" s="3" t="s">
        <v>136</v>
      </c>
      <c r="B95" s="5">
        <v>46284</v>
      </c>
      <c r="C95" s="3" t="s">
        <v>17</v>
      </c>
      <c r="D95" s="3" t="s">
        <v>29</v>
      </c>
      <c r="E95" s="3" t="s">
        <v>44</v>
      </c>
      <c r="F95" s="3">
        <v>24</v>
      </c>
      <c r="G95" s="6"/>
      <c r="H95" s="3" t="s">
        <v>18</v>
      </c>
      <c r="I95" s="3" t="s">
        <v>53</v>
      </c>
      <c r="J95" s="3" t="s">
        <v>53</v>
      </c>
    </row>
    <row r="96" spans="1:10" x14ac:dyDescent="0.3">
      <c r="A96" s="3" t="s">
        <v>137</v>
      </c>
      <c r="B96" s="5">
        <v>46284</v>
      </c>
      <c r="C96" s="3" t="s">
        <v>15</v>
      </c>
      <c r="D96" s="3" t="s">
        <v>29</v>
      </c>
      <c r="E96" s="3" t="s">
        <v>42</v>
      </c>
      <c r="F96" s="3">
        <v>4</v>
      </c>
      <c r="G96" s="6">
        <v>5</v>
      </c>
      <c r="H96" s="3" t="s">
        <v>3</v>
      </c>
      <c r="I96" s="3" t="s">
        <v>31</v>
      </c>
      <c r="J96" s="3" t="s">
        <v>32</v>
      </c>
    </row>
    <row r="97" spans="1:10" x14ac:dyDescent="0.3">
      <c r="A97" s="3" t="s">
        <v>138</v>
      </c>
      <c r="B97" s="5">
        <v>46285</v>
      </c>
      <c r="C97" s="3" t="s">
        <v>19</v>
      </c>
      <c r="D97" s="3" t="s">
        <v>29</v>
      </c>
      <c r="E97" s="3" t="s">
        <v>34</v>
      </c>
      <c r="F97" s="3">
        <v>48</v>
      </c>
      <c r="G97" s="6">
        <v>41</v>
      </c>
      <c r="H97" s="3" t="s">
        <v>16</v>
      </c>
      <c r="I97" s="3" t="s">
        <v>31</v>
      </c>
      <c r="J97" s="3" t="s">
        <v>31</v>
      </c>
    </row>
    <row r="98" spans="1:10" x14ac:dyDescent="0.3">
      <c r="A98" s="3" t="s">
        <v>139</v>
      </c>
      <c r="B98" s="5">
        <v>46285</v>
      </c>
      <c r="C98" s="3" t="s">
        <v>17</v>
      </c>
      <c r="D98" s="3" t="s">
        <v>46</v>
      </c>
      <c r="E98" s="3" t="s">
        <v>42</v>
      </c>
      <c r="F98" s="3">
        <v>12</v>
      </c>
      <c r="G98" s="6">
        <v>10</v>
      </c>
      <c r="H98" s="3" t="s">
        <v>3</v>
      </c>
      <c r="I98" s="3" t="s">
        <v>31</v>
      </c>
      <c r="J98" s="3" t="s">
        <v>31</v>
      </c>
    </row>
    <row r="99" spans="1:10" x14ac:dyDescent="0.3">
      <c r="A99" s="3" t="s">
        <v>140</v>
      </c>
      <c r="B99" s="5">
        <v>46285</v>
      </c>
      <c r="C99" s="3" t="s">
        <v>15</v>
      </c>
      <c r="D99" s="3" t="s">
        <v>48</v>
      </c>
      <c r="E99" s="3" t="s">
        <v>37</v>
      </c>
      <c r="F99" s="3">
        <v>48</v>
      </c>
      <c r="G99" s="6"/>
      <c r="H99" s="3" t="s">
        <v>18</v>
      </c>
      <c r="I99" s="3" t="s">
        <v>53</v>
      </c>
      <c r="J99" s="3" t="s">
        <v>53</v>
      </c>
    </row>
    <row r="100" spans="1:10" x14ac:dyDescent="0.3">
      <c r="A100" s="3" t="s">
        <v>141</v>
      </c>
      <c r="B100" s="5">
        <v>46285</v>
      </c>
      <c r="C100" s="3" t="s">
        <v>17</v>
      </c>
      <c r="D100" s="3" t="s">
        <v>46</v>
      </c>
      <c r="E100" s="3" t="s">
        <v>42</v>
      </c>
      <c r="F100" s="3">
        <v>4</v>
      </c>
      <c r="G100" s="6">
        <v>4</v>
      </c>
      <c r="H100" s="3" t="s">
        <v>3</v>
      </c>
      <c r="I100" s="3" t="s">
        <v>31</v>
      </c>
      <c r="J100" s="3" t="s">
        <v>31</v>
      </c>
    </row>
    <row r="101" spans="1:10" x14ac:dyDescent="0.3">
      <c r="A101" s="3" t="s">
        <v>142</v>
      </c>
      <c r="B101" s="5">
        <v>46287</v>
      </c>
      <c r="C101" s="3" t="s">
        <v>19</v>
      </c>
      <c r="D101" s="3" t="s">
        <v>46</v>
      </c>
      <c r="E101" s="3" t="s">
        <v>37</v>
      </c>
      <c r="F101" s="3">
        <v>12</v>
      </c>
      <c r="G101" s="6">
        <v>8</v>
      </c>
      <c r="H101" s="3" t="s">
        <v>3</v>
      </c>
      <c r="I101" s="3" t="s">
        <v>31</v>
      </c>
      <c r="J101" s="3" t="s">
        <v>31</v>
      </c>
    </row>
    <row r="102" spans="1:10" x14ac:dyDescent="0.3">
      <c r="A102" s="3" t="s">
        <v>143</v>
      </c>
      <c r="B102" s="5">
        <v>46287</v>
      </c>
      <c r="C102" s="3" t="s">
        <v>19</v>
      </c>
      <c r="D102" s="3" t="s">
        <v>46</v>
      </c>
      <c r="E102" s="3" t="s">
        <v>50</v>
      </c>
      <c r="F102" s="3">
        <v>12</v>
      </c>
      <c r="G102" s="6"/>
      <c r="H102" s="3" t="s">
        <v>18</v>
      </c>
      <c r="I102" s="3" t="s">
        <v>53</v>
      </c>
      <c r="J102" s="3" t="s">
        <v>53</v>
      </c>
    </row>
    <row r="103" spans="1:10" x14ac:dyDescent="0.3">
      <c r="A103" s="3" t="s">
        <v>144</v>
      </c>
      <c r="B103" s="5">
        <v>46287</v>
      </c>
      <c r="C103" s="3" t="s">
        <v>15</v>
      </c>
      <c r="D103" s="3" t="s">
        <v>48</v>
      </c>
      <c r="E103" s="3" t="s">
        <v>37</v>
      </c>
      <c r="F103" s="3">
        <v>8</v>
      </c>
      <c r="G103" s="6">
        <v>13</v>
      </c>
      <c r="H103" s="3" t="s">
        <v>16</v>
      </c>
      <c r="I103" s="3" t="s">
        <v>31</v>
      </c>
      <c r="J103" s="3" t="s">
        <v>32</v>
      </c>
    </row>
    <row r="104" spans="1:10" x14ac:dyDescent="0.3">
      <c r="A104" s="3" t="s">
        <v>145</v>
      </c>
      <c r="B104" s="5">
        <v>46288</v>
      </c>
      <c r="C104" s="3" t="s">
        <v>19</v>
      </c>
      <c r="D104" s="3" t="s">
        <v>36</v>
      </c>
      <c r="E104" s="3" t="s">
        <v>56</v>
      </c>
      <c r="F104" s="3">
        <v>24</v>
      </c>
      <c r="G104" s="6">
        <v>22</v>
      </c>
      <c r="H104" s="3" t="s">
        <v>3</v>
      </c>
      <c r="I104" s="3" t="s">
        <v>31</v>
      </c>
      <c r="J104" s="3" t="s">
        <v>31</v>
      </c>
    </row>
    <row r="105" spans="1:10" x14ac:dyDescent="0.3">
      <c r="A105" s="3" t="s">
        <v>146</v>
      </c>
      <c r="B105" s="5">
        <v>46288</v>
      </c>
      <c r="C105" s="3" t="s">
        <v>13</v>
      </c>
      <c r="D105" s="3" t="s">
        <v>36</v>
      </c>
      <c r="E105" s="3" t="s">
        <v>39</v>
      </c>
      <c r="F105" s="3">
        <v>4</v>
      </c>
      <c r="G105" s="6">
        <v>5</v>
      </c>
      <c r="H105" s="3" t="s">
        <v>16</v>
      </c>
      <c r="I105" s="3" t="s">
        <v>32</v>
      </c>
      <c r="J105" s="3" t="s">
        <v>32</v>
      </c>
    </row>
    <row r="106" spans="1:10" x14ac:dyDescent="0.3">
      <c r="A106" s="3" t="s">
        <v>147</v>
      </c>
      <c r="B106" s="5">
        <v>46291</v>
      </c>
      <c r="C106" s="3" t="s">
        <v>19</v>
      </c>
      <c r="D106" s="3" t="s">
        <v>48</v>
      </c>
      <c r="E106" s="3" t="s">
        <v>44</v>
      </c>
      <c r="F106" s="3">
        <v>48</v>
      </c>
      <c r="G106" s="6">
        <v>43</v>
      </c>
      <c r="H106" s="3" t="s">
        <v>3</v>
      </c>
      <c r="I106" s="3" t="s">
        <v>32</v>
      </c>
      <c r="J106" s="3" t="s">
        <v>31</v>
      </c>
    </row>
    <row r="107" spans="1:10" x14ac:dyDescent="0.3">
      <c r="A107" s="3" t="s">
        <v>148</v>
      </c>
      <c r="B107" s="5">
        <v>46291</v>
      </c>
      <c r="C107" s="3" t="s">
        <v>13</v>
      </c>
      <c r="D107" s="3" t="s">
        <v>46</v>
      </c>
      <c r="E107" s="3" t="s">
        <v>44</v>
      </c>
      <c r="F107" s="3">
        <v>8</v>
      </c>
      <c r="G107" s="6"/>
      <c r="H107" s="3" t="s">
        <v>18</v>
      </c>
      <c r="I107" s="3" t="s">
        <v>53</v>
      </c>
      <c r="J107" s="3" t="s">
        <v>53</v>
      </c>
    </row>
    <row r="108" spans="1:10" x14ac:dyDescent="0.3">
      <c r="A108" s="3" t="s">
        <v>149</v>
      </c>
      <c r="B108" s="5">
        <v>46291</v>
      </c>
      <c r="C108" s="3" t="s">
        <v>17</v>
      </c>
      <c r="D108" s="3" t="s">
        <v>48</v>
      </c>
      <c r="E108" s="3" t="s">
        <v>42</v>
      </c>
      <c r="F108" s="3">
        <v>8</v>
      </c>
      <c r="G108" s="6">
        <v>5</v>
      </c>
      <c r="H108" s="3" t="s">
        <v>3</v>
      </c>
      <c r="I108" s="3" t="s">
        <v>31</v>
      </c>
      <c r="J108" s="3" t="s">
        <v>31</v>
      </c>
    </row>
    <row r="109" spans="1:10" x14ac:dyDescent="0.3">
      <c r="A109" s="3" t="s">
        <v>150</v>
      </c>
      <c r="B109" s="5">
        <v>46292</v>
      </c>
      <c r="C109" s="3" t="s">
        <v>17</v>
      </c>
      <c r="D109" s="3" t="s">
        <v>29</v>
      </c>
      <c r="E109" s="3" t="s">
        <v>44</v>
      </c>
      <c r="F109" s="3">
        <v>12</v>
      </c>
      <c r="G109" s="6">
        <v>7</v>
      </c>
      <c r="H109" s="3" t="s">
        <v>3</v>
      </c>
      <c r="I109" s="3" t="s">
        <v>31</v>
      </c>
      <c r="J109" s="3" t="s">
        <v>31</v>
      </c>
    </row>
    <row r="110" spans="1:10" x14ac:dyDescent="0.3">
      <c r="A110" s="3" t="s">
        <v>151</v>
      </c>
      <c r="B110" s="5">
        <v>46292</v>
      </c>
      <c r="C110" s="3" t="s">
        <v>17</v>
      </c>
      <c r="D110" s="3" t="s">
        <v>48</v>
      </c>
      <c r="E110" s="3" t="s">
        <v>39</v>
      </c>
      <c r="F110" s="3">
        <v>12</v>
      </c>
      <c r="G110" s="6">
        <v>12</v>
      </c>
      <c r="H110" s="3" t="s">
        <v>3</v>
      </c>
      <c r="I110" s="3" t="s">
        <v>31</v>
      </c>
      <c r="J110" s="3" t="s">
        <v>31</v>
      </c>
    </row>
    <row r="111" spans="1:10" x14ac:dyDescent="0.3">
      <c r="A111" s="3" t="s">
        <v>152</v>
      </c>
      <c r="B111" s="5">
        <v>46292</v>
      </c>
      <c r="C111" s="3" t="s">
        <v>19</v>
      </c>
      <c r="D111" s="3" t="s">
        <v>29</v>
      </c>
      <c r="E111" s="3" t="s">
        <v>56</v>
      </c>
      <c r="F111" s="3">
        <v>4</v>
      </c>
      <c r="G111" s="6">
        <v>6</v>
      </c>
      <c r="H111" s="3" t="s">
        <v>3</v>
      </c>
      <c r="I111" s="3" t="s">
        <v>31</v>
      </c>
      <c r="J111" s="3" t="s">
        <v>32</v>
      </c>
    </row>
    <row r="112" spans="1:10" x14ac:dyDescent="0.3">
      <c r="A112" s="3" t="s">
        <v>153</v>
      </c>
      <c r="B112" s="5">
        <v>46292</v>
      </c>
      <c r="C112" s="3" t="s">
        <v>15</v>
      </c>
      <c r="D112" s="3" t="s">
        <v>29</v>
      </c>
      <c r="E112" s="3" t="s">
        <v>44</v>
      </c>
      <c r="F112" s="3">
        <v>4</v>
      </c>
      <c r="G112" s="6">
        <v>5</v>
      </c>
      <c r="H112" s="3" t="s">
        <v>3</v>
      </c>
      <c r="I112" s="3" t="s">
        <v>31</v>
      </c>
      <c r="J112" s="3" t="s">
        <v>32</v>
      </c>
    </row>
    <row r="113" spans="1:10" x14ac:dyDescent="0.3">
      <c r="A113" s="3" t="s">
        <v>154</v>
      </c>
      <c r="B113" s="5">
        <v>46292</v>
      </c>
      <c r="C113" s="3" t="s">
        <v>19</v>
      </c>
      <c r="D113" s="3" t="s">
        <v>48</v>
      </c>
      <c r="E113" s="3" t="s">
        <v>39</v>
      </c>
      <c r="F113" s="3">
        <v>12</v>
      </c>
      <c r="G113" s="6">
        <v>13</v>
      </c>
      <c r="H113" s="3" t="s">
        <v>14</v>
      </c>
      <c r="I113" s="3" t="s">
        <v>31</v>
      </c>
      <c r="J113" s="3" t="s">
        <v>32</v>
      </c>
    </row>
    <row r="114" spans="1:10" x14ac:dyDescent="0.3">
      <c r="A114" s="3" t="s">
        <v>155</v>
      </c>
      <c r="B114" s="5">
        <v>46293</v>
      </c>
      <c r="C114" s="3" t="s">
        <v>15</v>
      </c>
      <c r="D114" s="3" t="s">
        <v>46</v>
      </c>
      <c r="E114" s="3" t="s">
        <v>42</v>
      </c>
      <c r="F114" s="3">
        <v>48</v>
      </c>
      <c r="G114" s="6">
        <v>34</v>
      </c>
      <c r="H114" s="3" t="s">
        <v>3</v>
      </c>
      <c r="I114" s="3" t="s">
        <v>31</v>
      </c>
      <c r="J114" s="3" t="s">
        <v>31</v>
      </c>
    </row>
    <row r="115" spans="1:10" x14ac:dyDescent="0.3">
      <c r="A115" s="3" t="s">
        <v>156</v>
      </c>
      <c r="B115" s="5">
        <v>46293</v>
      </c>
      <c r="C115" s="3" t="s">
        <v>15</v>
      </c>
      <c r="D115" s="3" t="s">
        <v>29</v>
      </c>
      <c r="E115" s="3" t="s">
        <v>30</v>
      </c>
      <c r="F115" s="3">
        <v>12</v>
      </c>
      <c r="G115" s="6">
        <v>10</v>
      </c>
      <c r="H115" s="3" t="s">
        <v>14</v>
      </c>
      <c r="I115" s="3" t="s">
        <v>31</v>
      </c>
      <c r="J115" s="3" t="s">
        <v>31</v>
      </c>
    </row>
    <row r="116" spans="1:10" x14ac:dyDescent="0.3">
      <c r="A116" s="3" t="s">
        <v>157</v>
      </c>
      <c r="B116" s="5">
        <v>46294</v>
      </c>
      <c r="C116" s="3" t="s">
        <v>19</v>
      </c>
      <c r="D116" s="3" t="s">
        <v>46</v>
      </c>
      <c r="E116" s="3" t="s">
        <v>50</v>
      </c>
      <c r="F116" s="3">
        <v>12</v>
      </c>
      <c r="G116" s="6">
        <v>8</v>
      </c>
      <c r="H116" s="3" t="s">
        <v>3</v>
      </c>
      <c r="I116" s="3" t="s">
        <v>31</v>
      </c>
      <c r="J116" s="3" t="s">
        <v>31</v>
      </c>
    </row>
    <row r="117" spans="1:10" x14ac:dyDescent="0.3">
      <c r="A117" s="3" t="s">
        <v>158</v>
      </c>
      <c r="B117" s="5">
        <v>46295</v>
      </c>
      <c r="C117" s="3" t="s">
        <v>19</v>
      </c>
      <c r="D117" s="3" t="s">
        <v>36</v>
      </c>
      <c r="E117" s="3" t="s">
        <v>42</v>
      </c>
      <c r="F117" s="3">
        <v>4</v>
      </c>
      <c r="G117" s="6">
        <v>4</v>
      </c>
      <c r="H117" s="3" t="s">
        <v>3</v>
      </c>
      <c r="I117" s="3" t="s">
        <v>31</v>
      </c>
      <c r="J117" s="3" t="s">
        <v>31</v>
      </c>
    </row>
    <row r="118" spans="1:10" x14ac:dyDescent="0.3">
      <c r="A118" s="3" t="s">
        <v>159</v>
      </c>
      <c r="B118" s="5">
        <v>46295</v>
      </c>
      <c r="C118" s="3" t="s">
        <v>15</v>
      </c>
      <c r="D118" s="3" t="s">
        <v>48</v>
      </c>
      <c r="E118" s="3" t="s">
        <v>56</v>
      </c>
      <c r="F118" s="3">
        <v>12</v>
      </c>
      <c r="G118" s="6"/>
      <c r="H118" s="3" t="s">
        <v>18</v>
      </c>
      <c r="I118" s="3" t="s">
        <v>53</v>
      </c>
      <c r="J118" s="3" t="s">
        <v>53</v>
      </c>
    </row>
    <row r="119" spans="1:10" x14ac:dyDescent="0.3">
      <c r="A119" s="3" t="s">
        <v>160</v>
      </c>
      <c r="B119" s="5">
        <v>46295</v>
      </c>
      <c r="C119" s="3" t="s">
        <v>13</v>
      </c>
      <c r="D119" s="3" t="s">
        <v>29</v>
      </c>
      <c r="E119" s="3" t="s">
        <v>30</v>
      </c>
      <c r="F119" s="3">
        <v>8</v>
      </c>
      <c r="G119" s="6">
        <v>7</v>
      </c>
      <c r="H119" s="3" t="s">
        <v>16</v>
      </c>
      <c r="I119" s="3" t="s">
        <v>31</v>
      </c>
      <c r="J119" s="3" t="s">
        <v>31</v>
      </c>
    </row>
    <row r="120" spans="1:10" x14ac:dyDescent="0.3">
      <c r="A120" s="3" t="s">
        <v>161</v>
      </c>
      <c r="B120" s="5">
        <v>46295</v>
      </c>
      <c r="C120" s="3" t="s">
        <v>15</v>
      </c>
      <c r="D120" s="3" t="s">
        <v>29</v>
      </c>
      <c r="E120" s="3" t="s">
        <v>44</v>
      </c>
      <c r="F120" s="3">
        <v>12</v>
      </c>
      <c r="G120" s="6">
        <v>14</v>
      </c>
      <c r="H120" s="3" t="s">
        <v>3</v>
      </c>
      <c r="I120" s="3" t="s">
        <v>31</v>
      </c>
      <c r="J120" s="3" t="s">
        <v>32</v>
      </c>
    </row>
    <row r="121" spans="1:10" x14ac:dyDescent="0.3">
      <c r="A121" s="3" t="s">
        <v>162</v>
      </c>
      <c r="B121" s="5">
        <v>46295</v>
      </c>
      <c r="C121" s="3" t="s">
        <v>15</v>
      </c>
      <c r="D121" s="3" t="s">
        <v>36</v>
      </c>
      <c r="E121" s="3" t="s">
        <v>42</v>
      </c>
      <c r="F121" s="3">
        <v>12</v>
      </c>
      <c r="G121" s="6">
        <v>11</v>
      </c>
      <c r="H121" s="3" t="s">
        <v>16</v>
      </c>
      <c r="I121" s="3" t="s">
        <v>31</v>
      </c>
      <c r="J121" s="3" t="s">
        <v>31</v>
      </c>
    </row>
  </sheetData>
  <autoFilter ref="A1:J121" xr:uid="{00000000-0009-0000-0000-000002000000}"/>
  <conditionalFormatting sqref="H2:H121">
    <cfRule type="expression" dxfId="2" priority="1">
      <formula>H2="Completed"</formula>
    </cfRule>
    <cfRule type="expression" dxfId="1" priority="2">
      <formula>H2="Pending"</formula>
    </cfRule>
  </conditionalFormatting>
  <conditionalFormatting sqref="J2:J121">
    <cfRule type="expression" dxfId="0" priority="3">
      <formula>J2="No"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1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35" customWidth="1"/>
    <col min="2" max="2" width="22" customWidth="1"/>
  </cols>
  <sheetData>
    <row r="1" spans="1:6" ht="21" x14ac:dyDescent="0.3">
      <c r="A1" s="19" t="s">
        <v>163</v>
      </c>
      <c r="B1" s="12"/>
      <c r="C1" s="12"/>
      <c r="D1" s="12"/>
      <c r="E1" s="12"/>
      <c r="F1" s="12"/>
    </row>
    <row r="2" spans="1:6" x14ac:dyDescent="0.3">
      <c r="A2" s="18" t="s">
        <v>164</v>
      </c>
      <c r="B2" s="12"/>
      <c r="C2" s="12"/>
      <c r="D2" s="12"/>
      <c r="E2" s="12"/>
      <c r="F2" s="12"/>
    </row>
    <row r="4" spans="1:6" x14ac:dyDescent="0.3">
      <c r="A4" s="1" t="s">
        <v>165</v>
      </c>
      <c r="B4" s="1" t="s">
        <v>166</v>
      </c>
      <c r="C4" s="7"/>
      <c r="D4" s="7"/>
      <c r="E4" s="7"/>
      <c r="F4" s="7"/>
    </row>
    <row r="5" spans="1:6" x14ac:dyDescent="0.3">
      <c r="A5" s="2" t="s">
        <v>167</v>
      </c>
      <c r="B5" s="8">
        <f>COUNTA('Activity Data'!A2:A121)</f>
        <v>120</v>
      </c>
    </row>
    <row r="6" spans="1:6" x14ac:dyDescent="0.3">
      <c r="A6" s="2" t="s">
        <v>3</v>
      </c>
      <c r="B6" s="8">
        <f>COUNTIF('Activity Data'!H2:H121,"Completed")</f>
        <v>80</v>
      </c>
    </row>
    <row r="7" spans="1:6" x14ac:dyDescent="0.3">
      <c r="A7" s="2" t="s">
        <v>14</v>
      </c>
      <c r="B7" s="8">
        <f>COUNTIF('Activity Data'!H2:H121,"Pending")</f>
        <v>7</v>
      </c>
    </row>
    <row r="8" spans="1:6" x14ac:dyDescent="0.3">
      <c r="A8" s="2" t="s">
        <v>16</v>
      </c>
      <c r="B8" s="8">
        <f>COUNTIF('Activity Data'!H2:H121,"In Progress")</f>
        <v>24</v>
      </c>
    </row>
    <row r="9" spans="1:6" x14ac:dyDescent="0.3">
      <c r="A9" s="2" t="s">
        <v>168</v>
      </c>
      <c r="B9" s="8">
        <f>COUNTIF('Activity Data'!J2:J121,"Yes")</f>
        <v>56</v>
      </c>
    </row>
    <row r="10" spans="1:6" x14ac:dyDescent="0.3">
      <c r="A10" s="2" t="s">
        <v>169</v>
      </c>
      <c r="B10" s="8">
        <f>COUNTIF('Activity Data'!J2:J121,"No")</f>
        <v>55</v>
      </c>
    </row>
    <row r="11" spans="1:6" x14ac:dyDescent="0.3">
      <c r="A11" s="2" t="s">
        <v>170</v>
      </c>
      <c r="B11" s="8">
        <f>COUNTIF('Activity Data'!I2:I121,"Yes")</f>
        <v>95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8"/>
  <sheetViews>
    <sheetView showGridLines="0" workbookViewId="0">
      <selection activeCell="L16" sqref="L16"/>
    </sheetView>
  </sheetViews>
  <sheetFormatPr defaultRowHeight="14.4" x14ac:dyDescent="0.3"/>
  <cols>
    <col min="1" max="1" width="25" customWidth="1"/>
    <col min="2" max="2" width="18" customWidth="1"/>
  </cols>
  <sheetData>
    <row r="1" spans="1:4" ht="21" x14ac:dyDescent="0.3">
      <c r="A1" s="19" t="s">
        <v>171</v>
      </c>
      <c r="B1" s="12"/>
      <c r="C1" s="12"/>
      <c r="D1" s="12"/>
    </row>
    <row r="3" spans="1:4" x14ac:dyDescent="0.3">
      <c r="A3" s="1" t="s">
        <v>172</v>
      </c>
      <c r="B3" s="1" t="s">
        <v>11</v>
      </c>
      <c r="C3" s="7"/>
      <c r="D3" s="7"/>
    </row>
    <row r="4" spans="1:4" x14ac:dyDescent="0.3">
      <c r="A4" s="3" t="s">
        <v>173</v>
      </c>
      <c r="B4" s="3">
        <f>COUNTIF('Activity Data'!I2:I121,"Yes")</f>
        <v>95</v>
      </c>
    </row>
    <row r="5" spans="1:4" x14ac:dyDescent="0.3">
      <c r="A5" s="3" t="s">
        <v>174</v>
      </c>
      <c r="B5" s="3">
        <f>COUNTIF('Activity Data'!I2:I121,"No")</f>
        <v>16</v>
      </c>
    </row>
    <row r="6" spans="1:4" x14ac:dyDescent="0.3">
      <c r="A6" s="3" t="s">
        <v>175</v>
      </c>
      <c r="B6" s="3">
        <f>COUNTIF('Activity Data'!I2:I121,"N/A")</f>
        <v>9</v>
      </c>
    </row>
    <row r="8" spans="1:4" ht="18" x14ac:dyDescent="0.3">
      <c r="A8" s="2" t="s">
        <v>176</v>
      </c>
      <c r="B8" s="9">
        <f>IFERROR(B4/(B4+B5),0)</f>
        <v>0.85585585585585588</v>
      </c>
    </row>
  </sheetData>
  <mergeCells count="1">
    <mergeCell ref="A1:D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7"/>
  <sheetViews>
    <sheetView showGridLines="0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2" width="18" customWidth="1"/>
    <col min="3" max="4" width="15" customWidth="1"/>
    <col min="5" max="5" width="16" customWidth="1"/>
    <col min="6" max="6" width="14" customWidth="1"/>
    <col min="7" max="7" width="20" customWidth="1"/>
  </cols>
  <sheetData>
    <row r="1" spans="1:7" ht="21" x14ac:dyDescent="0.3">
      <c r="A1" s="19" t="s">
        <v>177</v>
      </c>
      <c r="B1" s="12"/>
      <c r="C1" s="12"/>
      <c r="D1" s="12"/>
      <c r="E1" s="12"/>
      <c r="F1" s="12"/>
      <c r="G1" s="12"/>
    </row>
    <row r="2" spans="1:7" x14ac:dyDescent="0.3">
      <c r="A2" s="18" t="s">
        <v>178</v>
      </c>
      <c r="B2" s="12"/>
      <c r="C2" s="12"/>
      <c r="D2" s="12"/>
      <c r="E2" s="12"/>
      <c r="F2" s="12"/>
      <c r="G2" s="12"/>
    </row>
    <row r="4" spans="1:7" x14ac:dyDescent="0.3">
      <c r="A4" s="10" t="s">
        <v>179</v>
      </c>
      <c r="B4" s="10" t="s">
        <v>2</v>
      </c>
      <c r="C4" s="10" t="s">
        <v>3</v>
      </c>
      <c r="D4" s="10" t="s">
        <v>14</v>
      </c>
      <c r="E4" s="10" t="s">
        <v>16</v>
      </c>
      <c r="F4" s="10" t="s">
        <v>27</v>
      </c>
      <c r="G4" s="10" t="s">
        <v>26</v>
      </c>
    </row>
    <row r="5" spans="1:7" x14ac:dyDescent="0.3">
      <c r="A5" s="11">
        <v>46235</v>
      </c>
      <c r="B5" s="3">
        <f>COUNTIFS('Activity Data'!$B:$B,"&gt;="&amp;A5,'Activity Data'!$B:$B,"&lt;"&amp;EDATE(A5,1))</f>
        <v>60</v>
      </c>
      <c r="C5" s="3">
        <f>COUNTIFS('Activity Data'!$B:$B,"&gt;="&amp;A5,'Activity Data'!$B:$B,"&lt;"&amp;EDATE(A5,1),'Activity Data'!$H:$H,"Completed")</f>
        <v>40</v>
      </c>
      <c r="D5" s="3">
        <f>COUNTIFS('Activity Data'!$B:$B,"&gt;="&amp;A5,'Activity Data'!$B:$B,"&lt;"&amp;EDATE(A5,1),'Activity Data'!$H:$H,"Pending")</f>
        <v>3</v>
      </c>
      <c r="E5" s="3">
        <f>COUNTIFS('Activity Data'!$B:$B,"&gt;="&amp;A5,'Activity Data'!$B:$B,"&lt;"&amp;EDATE(A5,1),'Activity Data'!$H:$H,"In Progress")</f>
        <v>14</v>
      </c>
      <c r="F5" s="3">
        <f>COUNTIFS('Activity Data'!$B:$B,"&gt;="&amp;A5,'Activity Data'!$B:$B,"&lt;"&amp;EDATE(A5,1),'Activity Data'!$J:$J,"Yes")</f>
        <v>25</v>
      </c>
      <c r="G5" s="3">
        <f>COUNTIFS('Activity Data'!$B:$B,"&gt;="&amp;A5,'Activity Data'!$B:$B,"&lt;"&amp;EDATE(A5,1),'Activity Data'!$I:$I,"Yes")</f>
        <v>47</v>
      </c>
    </row>
    <row r="6" spans="1:7" x14ac:dyDescent="0.3">
      <c r="A6" s="11">
        <v>46266</v>
      </c>
      <c r="B6" s="3">
        <f>COUNTIFS('Activity Data'!$B:$B,"&gt;="&amp;A6,'Activity Data'!$B:$B,"&lt;"&amp;EDATE(A6,1))</f>
        <v>60</v>
      </c>
      <c r="C6" s="3">
        <f>COUNTIFS('Activity Data'!$B:$B,"&gt;="&amp;A6,'Activity Data'!$B:$B,"&lt;"&amp;EDATE(A6,1),'Activity Data'!$H:$H,"Completed")</f>
        <v>40</v>
      </c>
      <c r="D6" s="3">
        <f>COUNTIFS('Activity Data'!$B:$B,"&gt;="&amp;A6,'Activity Data'!$B:$B,"&lt;"&amp;EDATE(A6,1),'Activity Data'!$H:$H,"Pending")</f>
        <v>4</v>
      </c>
      <c r="E6" s="3">
        <f>COUNTIFS('Activity Data'!$B:$B,"&gt;="&amp;A6,'Activity Data'!$B:$B,"&lt;"&amp;EDATE(A6,1),'Activity Data'!$H:$H,"In Progress")</f>
        <v>10</v>
      </c>
      <c r="F6" s="3">
        <f>COUNTIFS('Activity Data'!$B:$B,"&gt;="&amp;A6,'Activity Data'!$B:$B,"&lt;"&amp;EDATE(A6,1),'Activity Data'!$J:$J,"Yes")</f>
        <v>31</v>
      </c>
      <c r="G6" s="3">
        <f>COUNTIFS('Activity Data'!$B:$B,"&gt;="&amp;A6,'Activity Data'!$B:$B,"&lt;"&amp;EDATE(A6,1),'Activity Data'!$I:$I,"Yes")</f>
        <v>48</v>
      </c>
    </row>
    <row r="7" spans="1:7" x14ac:dyDescent="0.3">
      <c r="A7" s="11">
        <v>46296</v>
      </c>
      <c r="B7" s="3">
        <f>COUNTIFS('Activity Data'!$B:$B,"&gt;="&amp;A7,'Activity Data'!$B:$B,"&lt;"&amp;EDATE(A7,1))</f>
        <v>0</v>
      </c>
      <c r="C7" s="3">
        <f>COUNTIFS('Activity Data'!$B:$B,"&gt;="&amp;A7,'Activity Data'!$B:$B,"&lt;"&amp;EDATE(A7,1),'Activity Data'!$H:$H,"Completed")</f>
        <v>0</v>
      </c>
      <c r="D7" s="3">
        <f>COUNTIFS('Activity Data'!$B:$B,"&gt;="&amp;A7,'Activity Data'!$B:$B,"&lt;"&amp;EDATE(A7,1),'Activity Data'!$H:$H,"Pending")</f>
        <v>0</v>
      </c>
      <c r="E7" s="3">
        <f>COUNTIFS('Activity Data'!$B:$B,"&gt;="&amp;A7,'Activity Data'!$B:$B,"&lt;"&amp;EDATE(A7,1),'Activity Data'!$H:$H,"In Progress")</f>
        <v>0</v>
      </c>
      <c r="F7" s="3">
        <f>COUNTIFS('Activity Data'!$B:$B,"&gt;="&amp;A7,'Activity Data'!$B:$B,"&lt;"&amp;EDATE(A7,1),'Activity Data'!$J:$J,"Yes")</f>
        <v>0</v>
      </c>
      <c r="G7" s="3">
        <f>COUNTIFS('Activity Data'!$B:$B,"&gt;="&amp;A7,'Activity Data'!$B:$B,"&lt;"&amp;EDATE(A7,1),'Activity Data'!$I:$I,"Yes")</f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tabSelected="1" workbookViewId="0">
      <selection sqref="A1:D1"/>
    </sheetView>
  </sheetViews>
  <sheetFormatPr defaultRowHeight="14.4" x14ac:dyDescent="0.3"/>
  <cols>
    <col min="1" max="1" width="20" customWidth="1"/>
    <col min="2" max="2" width="28" customWidth="1"/>
    <col min="3" max="3" width="24" customWidth="1"/>
    <col min="4" max="4" width="18" customWidth="1"/>
  </cols>
  <sheetData>
    <row r="1" spans="1:4" ht="21" x14ac:dyDescent="0.3">
      <c r="A1" s="19" t="s">
        <v>180</v>
      </c>
      <c r="B1" s="12"/>
      <c r="C1" s="12"/>
      <c r="D1" s="12"/>
    </row>
    <row r="3" spans="1:4" x14ac:dyDescent="0.3">
      <c r="A3" s="2" t="s">
        <v>181</v>
      </c>
      <c r="B3" s="3" t="s">
        <v>133</v>
      </c>
    </row>
    <row r="5" spans="1:4" x14ac:dyDescent="0.3">
      <c r="A5" s="1" t="s">
        <v>182</v>
      </c>
      <c r="B5" s="1" t="s">
        <v>183</v>
      </c>
      <c r="C5" s="1" t="s">
        <v>184</v>
      </c>
    </row>
    <row r="6" spans="1:4" x14ac:dyDescent="0.3">
      <c r="A6" s="3" t="s">
        <v>21</v>
      </c>
      <c r="B6" s="3" t="e">
        <f ca="1">_xludf.XLOOKUP($B$3,'Activity Data'!$A:$A,'Activity Data'!$B:$B,"Not found")</f>
        <v>#NAME?</v>
      </c>
      <c r="C6" s="3">
        <f>IFERROR(VLOOKUP($B$3,'Activity Data'!$A:$J,2,FALSE),"Not found")</f>
        <v>46282</v>
      </c>
    </row>
    <row r="7" spans="1:4" x14ac:dyDescent="0.3">
      <c r="A7" s="3" t="s">
        <v>12</v>
      </c>
      <c r="B7" s="3" t="e">
        <f ca="1">_xludf.XLOOKUP($B$3,'Activity Data'!$A:$A,'Activity Data'!$C:$C,"Not found")</f>
        <v>#NAME?</v>
      </c>
      <c r="C7" s="3" t="str">
        <f>IFERROR(VLOOKUP($B$3,'Activity Data'!$A:$J,3,FALSE),"Not found")</f>
        <v>North</v>
      </c>
    </row>
    <row r="8" spans="1:4" x14ac:dyDescent="0.3">
      <c r="A8" s="3" t="s">
        <v>23</v>
      </c>
      <c r="B8" s="3" t="e">
        <f ca="1">_xludf.XLOOKUP($B$3,'Activity Data'!$A:$A,'Activity Data'!$E:$E,"Not found")</f>
        <v>#NAME?</v>
      </c>
      <c r="C8" s="3" t="str">
        <f>IFERROR(VLOOKUP($B$3,'Activity Data'!$A:$J,5,FALSE),"Not found")</f>
        <v>Meera</v>
      </c>
    </row>
    <row r="9" spans="1:4" x14ac:dyDescent="0.3">
      <c r="A9" s="3" t="s">
        <v>10</v>
      </c>
      <c r="B9" s="3" t="e">
        <f ca="1">_xludf.XLOOKUP($B$3,'Activity Data'!$A:$A,'Activity Data'!$H:$H,"Not found")</f>
        <v>#NAME?</v>
      </c>
      <c r="C9" s="3" t="str">
        <f>IFERROR(VLOOKUP($B$3,'Activity Data'!$A:$J,8,FALSE),"Not found")</f>
        <v>Cancelled</v>
      </c>
    </row>
    <row r="10" spans="1:4" x14ac:dyDescent="0.3">
      <c r="A10" s="3" t="s">
        <v>27</v>
      </c>
      <c r="B10" s="3" t="e">
        <f ca="1">_xludf.XLOOKUP($B$3,'Activity Data'!$A:$A,'Activity Data'!$J:$J,"Not found")</f>
        <v>#NAME?</v>
      </c>
      <c r="C10" s="3" t="str">
        <f>IFERROR(VLOOKUP($B$3,'Activity Data'!$A:$J,10,FALSE),"Not found")</f>
        <v>N/A</v>
      </c>
    </row>
    <row r="13" spans="1:4" x14ac:dyDescent="0.3">
      <c r="A13" s="2" t="s">
        <v>185</v>
      </c>
      <c r="B13" s="18" t="s">
        <v>186</v>
      </c>
      <c r="C13" s="12"/>
      <c r="D13" s="12"/>
    </row>
  </sheetData>
  <mergeCells count="2">
    <mergeCell ref="A1:D1"/>
    <mergeCell ref="B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Activity Data</vt:lpstr>
      <vt:lpstr>FMS Summary</vt:lpstr>
      <vt:lpstr>Checklist Summary</vt:lpstr>
      <vt:lpstr>MIS Summary</vt:lpstr>
      <vt:lpstr>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Thorat</cp:lastModifiedBy>
  <dcterms:created xsi:type="dcterms:W3CDTF">2026-10-15T15:05:42Z</dcterms:created>
  <dcterms:modified xsi:type="dcterms:W3CDTF">2026-10-15T15:16:42Z</dcterms:modified>
</cp:coreProperties>
</file>